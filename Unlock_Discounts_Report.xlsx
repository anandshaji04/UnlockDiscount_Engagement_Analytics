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s snapshot" sheetId="1" r:id="rId5"/>
    <sheet state="visible" name="Event Name &amp; Count" sheetId="2" r:id="rId6"/>
    <sheet state="visible" name="Week wise" sheetId="3" r:id="rId7"/>
    <sheet state="visible" name="User Retention (30-7-1 Day)" sheetId="4" r:id="rId8"/>
    <sheet state="visible" name="Country wise Active Users" sheetId="5" r:id="rId9"/>
    <sheet state="visible" name="Sessions" sheetId="6" r:id="rId10"/>
    <sheet state="visible" name="New User Acquisition" sheetId="7" r:id="rId11"/>
    <sheet state="visible" name="Revenue Tracking" sheetId="8" r:id="rId12"/>
    <sheet state="visible" name="Avg Engagement" sheetId="9" r:id="rId13"/>
    <sheet state="visible" name="User Overview" sheetId="10" r:id="rId14"/>
  </sheets>
  <definedNames/>
  <calcPr/>
</workbook>
</file>

<file path=xl/sharedStrings.xml><?xml version="1.0" encoding="utf-8"?>
<sst xmlns="http://schemas.openxmlformats.org/spreadsheetml/2006/main" count="213" uniqueCount="93">
  <si>
    <t># ----------------------------------------</t>
  </si>
  <si>
    <t># Reports snapshot</t>
  </si>
  <si>
    <t># Account: unlockdiscount</t>
  </si>
  <si>
    <t># Property: unlockdiscount</t>
  </si>
  <si>
    <t>#</t>
  </si>
  <si>
    <t># Start date: 20260128</t>
  </si>
  <si>
    <t># End date: 20260224</t>
  </si>
  <si>
    <t>Nth day</t>
  </si>
  <si>
    <t>Active users</t>
  </si>
  <si>
    <t>New users</t>
  </si>
  <si>
    <t>Average engagement time per active user</t>
  </si>
  <si>
    <t>Total revenue</t>
  </si>
  <si>
    <t># Where do your new users come from?</t>
  </si>
  <si>
    <t>First user primary channel group (Default channel group)</t>
  </si>
  <si>
    <t>Direct</t>
  </si>
  <si>
    <t>Organic Search</t>
  </si>
  <si>
    <t>Organic Social</t>
  </si>
  <si>
    <t>Referral</t>
  </si>
  <si>
    <t>Organic Video</t>
  </si>
  <si>
    <t>Paid Search</t>
  </si>
  <si>
    <t>Unassigned</t>
  </si>
  <si>
    <t>Cross-network</t>
  </si>
  <si>
    <t>Session primary channel group (Default channel group)</t>
  </si>
  <si>
    <t>Sessions</t>
  </si>
  <si>
    <t>Country ID</t>
  </si>
  <si>
    <t>AE</t>
  </si>
  <si>
    <t>AU</t>
  </si>
  <si>
    <t>GB</t>
  </si>
  <si>
    <t>IN</t>
  </si>
  <si>
    <t>JP</t>
  </si>
  <si>
    <t>NP</t>
  </si>
  <si>
    <t>PK</t>
  </si>
  <si>
    <t>SG</t>
  </si>
  <si>
    <t>US</t>
  </si>
  <si>
    <t>Country</t>
  </si>
  <si>
    <t># How are active users trending?</t>
  </si>
  <si>
    <t>30 days</t>
  </si>
  <si>
    <t>7 days</t>
  </si>
  <si>
    <t>1 day</t>
  </si>
  <si>
    <t># How well do you retain your users?</t>
  </si>
  <si>
    <t># Start date: 20260111</t>
  </si>
  <si>
    <t># End date: 20260221</t>
  </si>
  <si>
    <t>Date</t>
  </si>
  <si>
    <t>Week 0</t>
  </si>
  <si>
    <t>Week 1</t>
  </si>
  <si>
    <t>Week 2</t>
  </si>
  <si>
    <t>Week 3</t>
  </si>
  <si>
    <t>Week 4</t>
  </si>
  <si>
    <t>Week 5</t>
  </si>
  <si>
    <t>11 Jan - 17 Jan</t>
  </si>
  <si>
    <t>18 Jan - 24 Jan</t>
  </si>
  <si>
    <t>25 Jan - 31 Jan</t>
  </si>
  <si>
    <t>1 Feb - 7 Feb</t>
  </si>
  <si>
    <t>8 Feb - 14 Feb</t>
  </si>
  <si>
    <t>15 Feb - 21 Feb</t>
  </si>
  <si>
    <t>Page title and screen class</t>
  </si>
  <si>
    <t>Views</t>
  </si>
  <si>
    <t>UnlockDiscounts</t>
  </si>
  <si>
    <t>Event name</t>
  </si>
  <si>
    <t>Event count</t>
  </si>
  <si>
    <t>unlockdiscount</t>
  </si>
  <si>
    <t>page_view</t>
  </si>
  <si>
    <t>session_start</t>
  </si>
  <si>
    <t>user_engagement</t>
  </si>
  <si>
    <t>first_visit</t>
  </si>
  <si>
    <t>scroll</t>
  </si>
  <si>
    <t>click</t>
  </si>
  <si>
    <t>file_download</t>
  </si>
  <si>
    <t>form_start</t>
  </si>
  <si>
    <t># What are your top performing key events?</t>
  </si>
  <si>
    <t>Key events</t>
  </si>
  <si>
    <t># Where does your average 120d value come from?</t>
  </si>
  <si>
    <t>Average 120d value</t>
  </si>
  <si>
    <t>Item name</t>
  </si>
  <si>
    <t>Items purchased</t>
  </si>
  <si>
    <t># How does activity on your platforms compare?</t>
  </si>
  <si>
    <t>Platform</t>
  </si>
  <si>
    <t>Event Name</t>
  </si>
  <si>
    <t>Event Count</t>
  </si>
  <si>
    <t>Date Range</t>
  </si>
  <si>
    <t>Total</t>
  </si>
  <si>
    <t>Day</t>
  </si>
  <si>
    <t>30-Day Active Users</t>
  </si>
  <si>
    <t>7-Day Active Users</t>
  </si>
  <si>
    <t>1-Day Active Users</t>
  </si>
  <si>
    <t>Active Users</t>
  </si>
  <si>
    <t>% Share</t>
  </si>
  <si>
    <t>Channel</t>
  </si>
  <si>
    <t>New Users</t>
  </si>
  <si>
    <t>Total Revenue</t>
  </si>
  <si>
    <t>Avg Engagement (seconds)</t>
  </si>
  <si>
    <t>Avg Engagement (minutes)</t>
  </si>
  <si>
    <t>Returning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</si>
</sst>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 yyyy"/>
    <numFmt numFmtId="165" formatCode="0.0%"/>
  </numFmts>
  <fonts count="5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rgb="FFFFFFFF"/>
      <name val="Arial"/>
    </font>
    <font>
      <sz val="10.0"/>
      <color rgb="FF000000"/>
      <name val="Arial"/>
    </font>
    <font>
      <b/>
      <sz val="10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EBF5FB"/>
        <bgColor rgb="FFEBF5FB"/>
      </patternFill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1" fillId="4" fontId="3" numFmtId="0" xfId="0" applyAlignment="1" applyBorder="1" applyFill="1" applyFont="1">
      <alignment horizontal="center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3" fontId="3" numFmtId="164" xfId="0" applyAlignment="1" applyBorder="1" applyFont="1" applyNumberFormat="1">
      <alignment horizontal="center" readingOrder="0" shrinkToFit="0" vertical="center" wrapText="0"/>
    </xf>
    <xf borderId="1" fillId="3" fontId="3" numFmtId="165" xfId="0" applyAlignment="1" applyBorder="1" applyFont="1" applyNumberFormat="1">
      <alignment horizontal="center" shrinkToFit="0" vertical="center" wrapText="0"/>
    </xf>
    <xf borderId="1" fillId="4" fontId="3" numFmtId="165" xfId="0" applyAlignment="1" applyBorder="1" applyFont="1" applyNumberFormat="1">
      <alignment horizontal="center" shrinkToFit="0" vertical="center" wrapText="0"/>
    </xf>
    <xf borderId="1" fillId="5" fontId="4" numFmtId="0" xfId="0" applyAlignment="1" applyBorder="1" applyFill="1" applyFont="1">
      <alignment horizontal="center" shrinkToFit="0" vertical="center" wrapText="0"/>
    </xf>
    <xf borderId="1" fillId="5" fontId="4" numFmtId="10" xfId="0" applyAlignment="1" applyBorder="1" applyFont="1" applyNumberFormat="1">
      <alignment horizontal="center" shrinkToFit="0" vertical="center" wrapText="0"/>
    </xf>
    <xf borderId="1" fillId="4" fontId="3" numFmtId="164" xfId="0" applyAlignment="1" applyBorder="1" applyFont="1" applyNumberForma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88"/>
    <col customWidth="1" min="2" max="6" width="12.63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 t="s">
        <v>0</v>
      </c>
    </row>
    <row r="6" ht="15.75" customHeight="1">
      <c r="A6" s="1" t="s">
        <v>4</v>
      </c>
    </row>
    <row r="7" ht="15.75" customHeight="1">
      <c r="A7" s="1" t="s">
        <v>5</v>
      </c>
    </row>
    <row r="8" ht="15.75" customHeight="1">
      <c r="A8" s="1" t="s">
        <v>6</v>
      </c>
    </row>
    <row r="9" ht="15.75" customHeight="1">
      <c r="A9" s="1" t="s">
        <v>7</v>
      </c>
      <c r="B9" s="1" t="s">
        <v>8</v>
      </c>
    </row>
    <row r="10" ht="15.75" customHeight="1">
      <c r="A10" s="1">
        <v>0.0</v>
      </c>
      <c r="B10" s="1">
        <v>15.0</v>
      </c>
    </row>
    <row r="11" ht="15.75" customHeight="1">
      <c r="A11" s="1">
        <v>1.0</v>
      </c>
      <c r="B11" s="1">
        <v>8.0</v>
      </c>
    </row>
    <row r="12" ht="15.75" customHeight="1">
      <c r="A12" s="1">
        <v>2.0</v>
      </c>
      <c r="B12" s="1">
        <v>18.0</v>
      </c>
    </row>
    <row r="13" ht="15.75" customHeight="1">
      <c r="A13" s="1">
        <v>3.0</v>
      </c>
      <c r="B13" s="1">
        <v>19.0</v>
      </c>
    </row>
    <row r="14" ht="15.75" customHeight="1">
      <c r="A14" s="1">
        <v>4.0</v>
      </c>
      <c r="B14" s="1">
        <v>8.0</v>
      </c>
    </row>
    <row r="15" ht="15.75" customHeight="1">
      <c r="A15" s="1">
        <v>5.0</v>
      </c>
      <c r="B15" s="1">
        <v>36.0</v>
      </c>
    </row>
    <row r="16" ht="15.75" customHeight="1">
      <c r="A16" s="1">
        <v>6.0</v>
      </c>
      <c r="B16" s="1">
        <v>17.0</v>
      </c>
    </row>
    <row r="17" ht="15.75" customHeight="1">
      <c r="A17" s="1">
        <v>7.0</v>
      </c>
      <c r="B17" s="1">
        <v>14.0</v>
      </c>
    </row>
    <row r="18" ht="15.75" customHeight="1">
      <c r="A18" s="1">
        <v>8.0</v>
      </c>
      <c r="B18" s="1">
        <v>29.0</v>
      </c>
    </row>
    <row r="19" ht="15.75" customHeight="1">
      <c r="A19" s="1">
        <v>9.0</v>
      </c>
      <c r="B19" s="1">
        <v>30.0</v>
      </c>
    </row>
    <row r="20" ht="15.75" customHeight="1">
      <c r="A20" s="1">
        <v>10.0</v>
      </c>
      <c r="B20" s="1">
        <v>13.0</v>
      </c>
    </row>
    <row r="21" ht="15.75" customHeight="1">
      <c r="A21" s="1">
        <v>11.0</v>
      </c>
      <c r="B21" s="1">
        <v>5.0</v>
      </c>
    </row>
    <row r="22" ht="15.75" customHeight="1">
      <c r="A22" s="1">
        <v>12.0</v>
      </c>
      <c r="B22" s="1">
        <v>12.0</v>
      </c>
    </row>
    <row r="23" ht="15.75" customHeight="1">
      <c r="A23" s="1">
        <v>13.0</v>
      </c>
      <c r="B23" s="1">
        <v>10.0</v>
      </c>
    </row>
    <row r="24" ht="15.75" customHeight="1">
      <c r="A24" s="1">
        <v>14.0</v>
      </c>
      <c r="B24" s="1">
        <v>12.0</v>
      </c>
    </row>
    <row r="25" ht="15.75" customHeight="1">
      <c r="A25" s="1">
        <v>15.0</v>
      </c>
      <c r="B25" s="1">
        <v>17.0</v>
      </c>
    </row>
    <row r="26" ht="15.75" customHeight="1">
      <c r="A26" s="1">
        <v>16.0</v>
      </c>
      <c r="B26" s="1">
        <v>18.0</v>
      </c>
    </row>
    <row r="27" ht="15.75" customHeight="1">
      <c r="A27" s="1">
        <v>17.0</v>
      </c>
      <c r="B27" s="1">
        <v>27.0</v>
      </c>
    </row>
    <row r="28" ht="15.75" customHeight="1">
      <c r="A28" s="1">
        <v>18.0</v>
      </c>
      <c r="B28" s="1">
        <v>10.0</v>
      </c>
    </row>
    <row r="29" ht="15.75" customHeight="1">
      <c r="A29" s="1">
        <v>19.0</v>
      </c>
      <c r="B29" s="1">
        <v>11.0</v>
      </c>
    </row>
    <row r="30" ht="15.75" customHeight="1">
      <c r="A30" s="1">
        <v>20.0</v>
      </c>
      <c r="B30" s="1">
        <v>9.0</v>
      </c>
    </row>
    <row r="31" ht="15.75" customHeight="1">
      <c r="A31" s="1">
        <v>21.0</v>
      </c>
      <c r="B31" s="1">
        <v>11.0</v>
      </c>
    </row>
    <row r="32" ht="15.75" customHeight="1">
      <c r="A32" s="1">
        <v>22.0</v>
      </c>
      <c r="B32" s="1">
        <v>21.0</v>
      </c>
    </row>
    <row r="33" ht="15.75" customHeight="1">
      <c r="A33" s="1">
        <v>23.0</v>
      </c>
      <c r="B33" s="1">
        <v>9.0</v>
      </c>
    </row>
    <row r="34" ht="15.75" customHeight="1">
      <c r="A34" s="1">
        <v>24.0</v>
      </c>
      <c r="B34" s="1">
        <v>2.0</v>
      </c>
    </row>
    <row r="35" ht="15.75" customHeight="1">
      <c r="A35" s="1">
        <v>25.0</v>
      </c>
      <c r="B35" s="1">
        <v>7.0</v>
      </c>
    </row>
    <row r="36" ht="15.75" customHeight="1">
      <c r="A36" s="1">
        <v>26.0</v>
      </c>
      <c r="B36" s="1">
        <v>8.0</v>
      </c>
    </row>
    <row r="37" ht="15.75" customHeight="1">
      <c r="A37" s="1">
        <v>27.0</v>
      </c>
      <c r="B37" s="1">
        <v>13.0</v>
      </c>
    </row>
    <row r="38" ht="15.75" customHeight="1"/>
    <row r="39" ht="15.75" customHeight="1">
      <c r="A39" s="1" t="s">
        <v>5</v>
      </c>
    </row>
    <row r="40" ht="15.75" customHeight="1">
      <c r="A40" s="1" t="s">
        <v>6</v>
      </c>
    </row>
    <row r="41" ht="15.75" customHeight="1">
      <c r="A41" s="1" t="s">
        <v>7</v>
      </c>
      <c r="B41" s="1" t="s">
        <v>9</v>
      </c>
    </row>
    <row r="42" ht="15.75" customHeight="1">
      <c r="A42" s="1">
        <v>0.0</v>
      </c>
      <c r="B42" s="1">
        <v>13.0</v>
      </c>
    </row>
    <row r="43" ht="15.75" customHeight="1">
      <c r="A43" s="1">
        <v>1.0</v>
      </c>
      <c r="B43" s="1">
        <v>7.0</v>
      </c>
    </row>
    <row r="44" ht="15.75" customHeight="1">
      <c r="A44" s="1">
        <v>2.0</v>
      </c>
      <c r="B44" s="1">
        <v>18.0</v>
      </c>
    </row>
    <row r="45" ht="15.75" customHeight="1">
      <c r="A45" s="1">
        <v>3.0</v>
      </c>
      <c r="B45" s="1">
        <v>16.0</v>
      </c>
    </row>
    <row r="46" ht="15.75" customHeight="1">
      <c r="A46" s="1">
        <v>4.0</v>
      </c>
      <c r="B46" s="1">
        <v>6.0</v>
      </c>
    </row>
    <row r="47" ht="15.75" customHeight="1">
      <c r="A47" s="1">
        <v>5.0</v>
      </c>
      <c r="B47" s="1">
        <v>35.0</v>
      </c>
    </row>
    <row r="48" ht="15.75" customHeight="1">
      <c r="A48" s="1">
        <v>6.0</v>
      </c>
      <c r="B48" s="1">
        <v>16.0</v>
      </c>
    </row>
    <row r="49" ht="15.75" customHeight="1">
      <c r="A49" s="1">
        <v>7.0</v>
      </c>
      <c r="B49" s="1">
        <v>11.0</v>
      </c>
    </row>
    <row r="50" ht="15.75" customHeight="1">
      <c r="A50" s="1">
        <v>8.0</v>
      </c>
      <c r="B50" s="1">
        <v>27.0</v>
      </c>
    </row>
    <row r="51" ht="15.75" customHeight="1">
      <c r="A51" s="1">
        <v>9.0</v>
      </c>
      <c r="B51" s="1">
        <v>27.0</v>
      </c>
    </row>
    <row r="52" ht="15.75" customHeight="1">
      <c r="A52" s="1">
        <v>10.0</v>
      </c>
      <c r="B52" s="1">
        <v>13.0</v>
      </c>
    </row>
    <row r="53" ht="15.75" customHeight="1">
      <c r="A53" s="1">
        <v>11.0</v>
      </c>
      <c r="B53" s="1">
        <v>4.0</v>
      </c>
    </row>
    <row r="54" ht="15.75" customHeight="1">
      <c r="A54" s="1">
        <v>12.0</v>
      </c>
      <c r="B54" s="1">
        <v>11.0</v>
      </c>
    </row>
    <row r="55" ht="15.75" customHeight="1">
      <c r="A55" s="1">
        <v>13.0</v>
      </c>
      <c r="B55" s="1">
        <v>9.0</v>
      </c>
    </row>
    <row r="56" ht="15.75" customHeight="1">
      <c r="A56" s="1">
        <v>14.0</v>
      </c>
      <c r="B56" s="1">
        <v>9.0</v>
      </c>
    </row>
    <row r="57" ht="15.75" customHeight="1">
      <c r="A57" s="1">
        <v>15.0</v>
      </c>
      <c r="B57" s="1">
        <v>14.0</v>
      </c>
    </row>
    <row r="58" ht="15.75" customHeight="1">
      <c r="A58" s="1">
        <v>16.0</v>
      </c>
      <c r="B58" s="1">
        <v>11.0</v>
      </c>
    </row>
    <row r="59" ht="15.75" customHeight="1">
      <c r="A59" s="1">
        <v>17.0</v>
      </c>
      <c r="B59" s="1">
        <v>26.0</v>
      </c>
    </row>
    <row r="60" ht="15.75" customHeight="1">
      <c r="A60" s="1">
        <v>18.0</v>
      </c>
      <c r="B60" s="1">
        <v>9.0</v>
      </c>
    </row>
    <row r="61" ht="15.75" customHeight="1">
      <c r="A61" s="1">
        <v>19.0</v>
      </c>
      <c r="B61" s="1">
        <v>9.0</v>
      </c>
    </row>
    <row r="62" ht="15.75" customHeight="1">
      <c r="A62" s="1">
        <v>20.0</v>
      </c>
      <c r="B62" s="1">
        <v>7.0</v>
      </c>
    </row>
    <row r="63" ht="15.75" customHeight="1">
      <c r="A63" s="1">
        <v>21.0</v>
      </c>
      <c r="B63" s="1">
        <v>7.0</v>
      </c>
    </row>
    <row r="64" ht="15.75" customHeight="1">
      <c r="A64" s="1">
        <v>22.0</v>
      </c>
      <c r="B64" s="1">
        <v>19.0</v>
      </c>
    </row>
    <row r="65" ht="15.75" customHeight="1">
      <c r="A65" s="1">
        <v>23.0</v>
      </c>
      <c r="B65" s="1">
        <v>6.0</v>
      </c>
    </row>
    <row r="66" ht="15.75" customHeight="1">
      <c r="A66" s="1">
        <v>24.0</v>
      </c>
      <c r="B66" s="1">
        <v>1.0</v>
      </c>
    </row>
    <row r="67" ht="15.75" customHeight="1">
      <c r="A67" s="1">
        <v>25.0</v>
      </c>
      <c r="B67" s="1">
        <v>7.0</v>
      </c>
    </row>
    <row r="68" ht="15.75" customHeight="1">
      <c r="A68" s="1">
        <v>26.0</v>
      </c>
      <c r="B68" s="1">
        <v>7.0</v>
      </c>
    </row>
    <row r="69" ht="15.75" customHeight="1">
      <c r="A69" s="1">
        <v>27.0</v>
      </c>
      <c r="B69" s="1">
        <v>11.0</v>
      </c>
    </row>
    <row r="70" ht="15.75" customHeight="1"/>
    <row r="71" ht="15.75" customHeight="1">
      <c r="A71" s="1" t="s">
        <v>5</v>
      </c>
    </row>
    <row r="72" ht="15.75" customHeight="1">
      <c r="A72" s="1" t="s">
        <v>6</v>
      </c>
    </row>
    <row r="73" ht="15.75" customHeight="1">
      <c r="A73" s="1" t="s">
        <v>7</v>
      </c>
      <c r="B73" s="1" t="s">
        <v>10</v>
      </c>
    </row>
    <row r="74" ht="15.75" customHeight="1">
      <c r="A74" s="1">
        <v>0.0</v>
      </c>
      <c r="B74" s="1">
        <v>89.7333333333333</v>
      </c>
    </row>
    <row r="75" ht="15.75" customHeight="1">
      <c r="A75" s="1">
        <v>1.0</v>
      </c>
      <c r="B75" s="1">
        <v>76.875</v>
      </c>
    </row>
    <row r="76" ht="15.75" customHeight="1">
      <c r="A76" s="1">
        <v>2.0</v>
      </c>
      <c r="B76" s="1">
        <v>36.1111111111111</v>
      </c>
    </row>
    <row r="77" ht="15.75" customHeight="1">
      <c r="A77" s="1">
        <v>3.0</v>
      </c>
      <c r="B77" s="1">
        <v>29.5263157894736</v>
      </c>
    </row>
    <row r="78" ht="15.75" customHeight="1">
      <c r="A78" s="1">
        <v>4.0</v>
      </c>
      <c r="B78" s="1">
        <v>10.25</v>
      </c>
    </row>
    <row r="79" ht="15.75" customHeight="1">
      <c r="A79" s="1">
        <v>5.0</v>
      </c>
      <c r="B79" s="1">
        <v>20.7222222222222</v>
      </c>
    </row>
    <row r="80" ht="15.75" customHeight="1">
      <c r="A80" s="1">
        <v>6.0</v>
      </c>
      <c r="B80" s="1">
        <v>32.2941176470588</v>
      </c>
    </row>
    <row r="81" ht="15.75" customHeight="1">
      <c r="A81" s="1">
        <v>7.0</v>
      </c>
      <c r="B81" s="1">
        <v>47.7857142857142</v>
      </c>
    </row>
    <row r="82" ht="15.75" customHeight="1">
      <c r="A82" s="1">
        <v>8.0</v>
      </c>
      <c r="B82" s="1">
        <v>33.9655172413793</v>
      </c>
    </row>
    <row r="83" ht="15.75" customHeight="1">
      <c r="A83" s="1">
        <v>9.0</v>
      </c>
      <c r="B83" s="1">
        <v>17.8</v>
      </c>
    </row>
    <row r="84" ht="15.75" customHeight="1">
      <c r="A84" s="1">
        <v>10.0</v>
      </c>
      <c r="B84" s="1">
        <v>24.4615384615384</v>
      </c>
    </row>
    <row r="85" ht="15.75" customHeight="1">
      <c r="A85" s="1">
        <v>11.0</v>
      </c>
      <c r="B85" s="1">
        <v>22.4</v>
      </c>
    </row>
    <row r="86" ht="15.75" customHeight="1">
      <c r="A86" s="1">
        <v>12.0</v>
      </c>
      <c r="B86" s="1">
        <v>23.6666666666666</v>
      </c>
    </row>
    <row r="87" ht="15.75" customHeight="1">
      <c r="A87" s="1">
        <v>13.0</v>
      </c>
      <c r="B87" s="1">
        <v>4.9</v>
      </c>
    </row>
    <row r="88" ht="15.75" customHeight="1">
      <c r="A88" s="1">
        <v>14.0</v>
      </c>
      <c r="B88" s="1">
        <v>19.5833333333333</v>
      </c>
    </row>
    <row r="89" ht="15.75" customHeight="1">
      <c r="A89" s="1">
        <v>15.0</v>
      </c>
      <c r="B89" s="1">
        <v>20.2941176470588</v>
      </c>
    </row>
    <row r="90" ht="15.75" customHeight="1">
      <c r="A90" s="1">
        <v>16.0</v>
      </c>
      <c r="B90" s="1">
        <v>11.5</v>
      </c>
    </row>
    <row r="91" ht="15.75" customHeight="1">
      <c r="A91" s="1">
        <v>17.0</v>
      </c>
      <c r="B91" s="1">
        <v>11.6296296296296</v>
      </c>
    </row>
    <row r="92" ht="15.75" customHeight="1">
      <c r="A92" s="1">
        <v>18.0</v>
      </c>
      <c r="B92" s="1">
        <v>28.0</v>
      </c>
    </row>
    <row r="93" ht="15.75" customHeight="1">
      <c r="A93" s="1">
        <v>19.0</v>
      </c>
      <c r="B93" s="1">
        <v>11.1818181818181</v>
      </c>
    </row>
    <row r="94" ht="15.75" customHeight="1">
      <c r="A94" s="1">
        <v>20.0</v>
      </c>
      <c r="B94" s="1">
        <v>49.4444444444444</v>
      </c>
    </row>
    <row r="95" ht="15.75" customHeight="1">
      <c r="A95" s="1">
        <v>21.0</v>
      </c>
      <c r="B95" s="1">
        <v>17.1818181818181</v>
      </c>
    </row>
    <row r="96" ht="15.75" customHeight="1">
      <c r="A96" s="1">
        <v>22.0</v>
      </c>
      <c r="B96" s="1">
        <v>20.5714285714285</v>
      </c>
    </row>
    <row r="97" ht="15.75" customHeight="1">
      <c r="A97" s="1">
        <v>23.0</v>
      </c>
      <c r="B97" s="1">
        <v>8.88888888888889</v>
      </c>
    </row>
    <row r="98" ht="15.75" customHeight="1">
      <c r="A98" s="1">
        <v>24.0</v>
      </c>
      <c r="B98" s="1">
        <v>67.0</v>
      </c>
    </row>
    <row r="99" ht="15.75" customHeight="1">
      <c r="A99" s="1">
        <v>25.0</v>
      </c>
      <c r="B99" s="1">
        <v>4.85714285714285</v>
      </c>
    </row>
    <row r="100" ht="15.75" customHeight="1">
      <c r="A100" s="1">
        <v>26.0</v>
      </c>
      <c r="B100" s="1">
        <v>15.75</v>
      </c>
    </row>
    <row r="101" ht="15.75" customHeight="1">
      <c r="A101" s="1">
        <v>27.0</v>
      </c>
      <c r="B101" s="1">
        <v>38.4615384615384</v>
      </c>
    </row>
    <row r="102" ht="15.75" customHeight="1"/>
    <row r="103" ht="15.75" customHeight="1">
      <c r="A103" s="1" t="s">
        <v>5</v>
      </c>
    </row>
    <row r="104" ht="15.75" customHeight="1">
      <c r="A104" s="1" t="s">
        <v>6</v>
      </c>
    </row>
    <row r="105" ht="15.75" customHeight="1">
      <c r="A105" s="1" t="s">
        <v>7</v>
      </c>
      <c r="B105" s="1" t="s">
        <v>11</v>
      </c>
    </row>
    <row r="106" ht="15.75" customHeight="1">
      <c r="A106" s="1">
        <v>0.0</v>
      </c>
      <c r="B106" s="1">
        <v>0.0</v>
      </c>
    </row>
    <row r="107" ht="15.75" customHeight="1">
      <c r="A107" s="1">
        <v>1.0</v>
      </c>
      <c r="B107" s="1">
        <v>0.0</v>
      </c>
    </row>
    <row r="108" ht="15.75" customHeight="1">
      <c r="A108" s="1">
        <v>2.0</v>
      </c>
      <c r="B108" s="1">
        <v>0.0</v>
      </c>
    </row>
    <row r="109" ht="15.75" customHeight="1">
      <c r="A109" s="1">
        <v>3.0</v>
      </c>
      <c r="B109" s="1">
        <v>0.0</v>
      </c>
    </row>
    <row r="110" ht="15.75" customHeight="1">
      <c r="A110" s="1">
        <v>4.0</v>
      </c>
      <c r="B110" s="1">
        <v>0.0</v>
      </c>
    </row>
    <row r="111" ht="15.75" customHeight="1">
      <c r="A111" s="1">
        <v>5.0</v>
      </c>
      <c r="B111" s="1">
        <v>0.0</v>
      </c>
    </row>
    <row r="112" ht="15.75" customHeight="1">
      <c r="A112" s="1">
        <v>6.0</v>
      </c>
      <c r="B112" s="1">
        <v>0.0</v>
      </c>
    </row>
    <row r="113" ht="15.75" customHeight="1">
      <c r="A113" s="1">
        <v>7.0</v>
      </c>
      <c r="B113" s="1">
        <v>0.0</v>
      </c>
    </row>
    <row r="114" ht="15.75" customHeight="1">
      <c r="A114" s="1">
        <v>8.0</v>
      </c>
      <c r="B114" s="1">
        <v>0.0</v>
      </c>
    </row>
    <row r="115" ht="15.75" customHeight="1">
      <c r="A115" s="1">
        <v>9.0</v>
      </c>
      <c r="B115" s="1">
        <v>0.0</v>
      </c>
    </row>
    <row r="116" ht="15.75" customHeight="1">
      <c r="A116" s="1">
        <v>10.0</v>
      </c>
      <c r="B116" s="1">
        <v>0.0</v>
      </c>
    </row>
    <row r="117" ht="15.75" customHeight="1">
      <c r="A117" s="1">
        <v>11.0</v>
      </c>
      <c r="B117" s="1">
        <v>0.0</v>
      </c>
    </row>
    <row r="118" ht="15.75" customHeight="1">
      <c r="A118" s="1">
        <v>12.0</v>
      </c>
      <c r="B118" s="1">
        <v>0.0</v>
      </c>
    </row>
    <row r="119" ht="15.75" customHeight="1">
      <c r="A119" s="1">
        <v>13.0</v>
      </c>
      <c r="B119" s="1">
        <v>0.0</v>
      </c>
    </row>
    <row r="120" ht="15.75" customHeight="1">
      <c r="A120" s="1">
        <v>14.0</v>
      </c>
      <c r="B120" s="1">
        <v>0.0</v>
      </c>
    </row>
    <row r="121" ht="15.75" customHeight="1">
      <c r="A121" s="1">
        <v>15.0</v>
      </c>
      <c r="B121" s="1">
        <v>0.0</v>
      </c>
    </row>
    <row r="122" ht="15.75" customHeight="1">
      <c r="A122" s="1">
        <v>16.0</v>
      </c>
      <c r="B122" s="1">
        <v>0.0</v>
      </c>
    </row>
    <row r="123" ht="15.75" customHeight="1">
      <c r="A123" s="1">
        <v>17.0</v>
      </c>
      <c r="B123" s="1">
        <v>0.0</v>
      </c>
    </row>
    <row r="124" ht="15.75" customHeight="1">
      <c r="A124" s="1">
        <v>18.0</v>
      </c>
      <c r="B124" s="1">
        <v>0.0</v>
      </c>
    </row>
    <row r="125" ht="15.75" customHeight="1">
      <c r="A125" s="1">
        <v>19.0</v>
      </c>
      <c r="B125" s="1">
        <v>0.0</v>
      </c>
    </row>
    <row r="126" ht="15.75" customHeight="1">
      <c r="A126" s="1">
        <v>20.0</v>
      </c>
      <c r="B126" s="1">
        <v>0.0</v>
      </c>
    </row>
    <row r="127" ht="15.75" customHeight="1">
      <c r="A127" s="1">
        <v>21.0</v>
      </c>
      <c r="B127" s="1">
        <v>0.0</v>
      </c>
    </row>
    <row r="128" ht="15.75" customHeight="1">
      <c r="A128" s="1">
        <v>22.0</v>
      </c>
      <c r="B128" s="1">
        <v>0.0</v>
      </c>
    </row>
    <row r="129" ht="15.75" customHeight="1">
      <c r="A129" s="1">
        <v>23.0</v>
      </c>
      <c r="B129" s="1">
        <v>0.0</v>
      </c>
    </row>
    <row r="130" ht="15.75" customHeight="1">
      <c r="A130" s="1">
        <v>24.0</v>
      </c>
      <c r="B130" s="1">
        <v>0.0</v>
      </c>
    </row>
    <row r="131" ht="15.75" customHeight="1">
      <c r="A131" s="1">
        <v>25.0</v>
      </c>
      <c r="B131" s="1">
        <v>0.0</v>
      </c>
    </row>
    <row r="132" ht="15.75" customHeight="1">
      <c r="A132" s="1">
        <v>26.0</v>
      </c>
      <c r="B132" s="1">
        <v>0.0</v>
      </c>
    </row>
    <row r="133" ht="15.75" customHeight="1">
      <c r="A133" s="1">
        <v>27.0</v>
      </c>
      <c r="B133" s="1">
        <v>0.0</v>
      </c>
    </row>
    <row r="134" ht="15.75" customHeight="1"/>
    <row r="135" ht="15.75" customHeight="1">
      <c r="A135" s="1" t="s">
        <v>12</v>
      </c>
    </row>
    <row r="136" ht="15.75" customHeight="1">
      <c r="A136" s="1" t="s">
        <v>5</v>
      </c>
    </row>
    <row r="137" ht="15.75" customHeight="1">
      <c r="A137" s="1" t="s">
        <v>6</v>
      </c>
    </row>
    <row r="138" ht="15.75" customHeight="1">
      <c r="A138" s="1" t="s">
        <v>13</v>
      </c>
      <c r="B138" s="1" t="s">
        <v>9</v>
      </c>
    </row>
    <row r="139" ht="15.75" customHeight="1">
      <c r="A139" s="1" t="s">
        <v>14</v>
      </c>
      <c r="B139" s="1">
        <v>193.0</v>
      </c>
    </row>
    <row r="140" ht="15.75" customHeight="1">
      <c r="A140" s="1" t="s">
        <v>15</v>
      </c>
      <c r="B140" s="1">
        <v>137.0</v>
      </c>
    </row>
    <row r="141" ht="15.75" customHeight="1">
      <c r="A141" s="1" t="s">
        <v>16</v>
      </c>
      <c r="B141" s="1">
        <v>13.0</v>
      </c>
    </row>
    <row r="142" ht="15.75" customHeight="1">
      <c r="A142" s="1" t="s">
        <v>17</v>
      </c>
      <c r="B142" s="1">
        <v>5.0</v>
      </c>
    </row>
    <row r="143" ht="15.75" customHeight="1">
      <c r="A143" s="1" t="s">
        <v>18</v>
      </c>
      <c r="B143" s="1">
        <v>3.0</v>
      </c>
    </row>
    <row r="144" ht="15.75" customHeight="1">
      <c r="A144" s="1" t="s">
        <v>19</v>
      </c>
      <c r="B144" s="1">
        <v>2.0</v>
      </c>
    </row>
    <row r="145" ht="15.75" customHeight="1">
      <c r="A145" s="1" t="s">
        <v>20</v>
      </c>
      <c r="B145" s="1">
        <v>2.0</v>
      </c>
    </row>
    <row r="146" ht="15.75" customHeight="1">
      <c r="A146" s="1" t="s">
        <v>21</v>
      </c>
      <c r="B146" s="1">
        <v>1.0</v>
      </c>
    </row>
    <row r="147" ht="15.75" customHeight="1"/>
    <row r="148" ht="15.75" customHeight="1">
      <c r="A148" s="1" t="s">
        <v>4</v>
      </c>
    </row>
    <row r="149" ht="15.75" customHeight="1">
      <c r="A149" s="1" t="s">
        <v>5</v>
      </c>
    </row>
    <row r="150" ht="15.75" customHeight="1">
      <c r="A150" s="1" t="s">
        <v>6</v>
      </c>
    </row>
    <row r="151" ht="15.75" customHeight="1">
      <c r="A151" s="1" t="s">
        <v>22</v>
      </c>
      <c r="B151" s="1" t="s">
        <v>23</v>
      </c>
    </row>
    <row r="152" ht="15.75" customHeight="1">
      <c r="A152" s="1" t="s">
        <v>15</v>
      </c>
      <c r="B152" s="1">
        <v>218.0</v>
      </c>
    </row>
    <row r="153" ht="15.75" customHeight="1">
      <c r="A153" s="1" t="s">
        <v>14</v>
      </c>
      <c r="B153" s="1">
        <v>210.0</v>
      </c>
    </row>
    <row r="154" ht="15.75" customHeight="1">
      <c r="A154" s="1" t="s">
        <v>20</v>
      </c>
      <c r="B154" s="1">
        <v>17.0</v>
      </c>
    </row>
    <row r="155" ht="15.75" customHeight="1">
      <c r="A155" s="1" t="s">
        <v>16</v>
      </c>
      <c r="B155" s="1">
        <v>14.0</v>
      </c>
    </row>
    <row r="156" ht="15.75" customHeight="1">
      <c r="A156" s="1" t="s">
        <v>17</v>
      </c>
      <c r="B156" s="1">
        <v>9.0</v>
      </c>
    </row>
    <row r="157" ht="15.75" customHeight="1">
      <c r="A157" s="1" t="s">
        <v>18</v>
      </c>
      <c r="B157" s="1">
        <v>6.0</v>
      </c>
    </row>
    <row r="158" ht="15.75" customHeight="1">
      <c r="A158" s="1" t="s">
        <v>19</v>
      </c>
      <c r="B158" s="1">
        <v>2.0</v>
      </c>
    </row>
    <row r="159" ht="15.75" customHeight="1">
      <c r="A159" s="1" t="s">
        <v>21</v>
      </c>
      <c r="B159" s="1">
        <v>1.0</v>
      </c>
    </row>
    <row r="160" ht="15.75" customHeight="1"/>
    <row r="161" ht="15.75" customHeight="1">
      <c r="A161" s="1" t="s">
        <v>4</v>
      </c>
    </row>
    <row r="162" ht="15.75" customHeight="1">
      <c r="A162" s="1" t="s">
        <v>5</v>
      </c>
    </row>
    <row r="163" ht="15.75" customHeight="1">
      <c r="A163" s="1" t="s">
        <v>6</v>
      </c>
    </row>
    <row r="164" ht="15.75" customHeight="1">
      <c r="A164" s="1" t="s">
        <v>24</v>
      </c>
      <c r="B164" s="1" t="s">
        <v>8</v>
      </c>
    </row>
    <row r="165" ht="15.75" customHeight="1">
      <c r="A165" s="1" t="s">
        <v>25</v>
      </c>
      <c r="B165" s="1">
        <v>3.0</v>
      </c>
    </row>
    <row r="166" ht="15.75" customHeight="1">
      <c r="A166" s="1" t="s">
        <v>26</v>
      </c>
      <c r="B166" s="1">
        <v>1.0</v>
      </c>
    </row>
    <row r="167" ht="15.75" customHeight="1">
      <c r="A167" s="1" t="s">
        <v>27</v>
      </c>
      <c r="B167" s="1">
        <v>6.0</v>
      </c>
    </row>
    <row r="168" ht="15.75" customHeight="1">
      <c r="A168" s="1" t="s">
        <v>28</v>
      </c>
      <c r="B168" s="1">
        <v>229.0</v>
      </c>
    </row>
    <row r="169" ht="15.75" customHeight="1">
      <c r="A169" s="1" t="s">
        <v>29</v>
      </c>
      <c r="B169" s="1">
        <v>1.0</v>
      </c>
    </row>
    <row r="170" ht="15.75" customHeight="1">
      <c r="A170" s="1" t="s">
        <v>30</v>
      </c>
      <c r="B170" s="1">
        <v>2.0</v>
      </c>
    </row>
    <row r="171" ht="15.75" customHeight="1">
      <c r="A171" s="1" t="s">
        <v>31</v>
      </c>
      <c r="B171" s="1">
        <v>2.0</v>
      </c>
    </row>
    <row r="172" ht="15.75" customHeight="1">
      <c r="A172" s="1" t="s">
        <v>32</v>
      </c>
      <c r="B172" s="1">
        <v>1.0</v>
      </c>
    </row>
    <row r="173" ht="15.75" customHeight="1">
      <c r="A173" s="1" t="s">
        <v>33</v>
      </c>
      <c r="B173" s="1">
        <v>116.0</v>
      </c>
    </row>
    <row r="174" ht="15.75" customHeight="1"/>
    <row r="175" ht="15.75" customHeight="1">
      <c r="A175" s="1" t="s">
        <v>5</v>
      </c>
    </row>
    <row r="176" ht="15.75" customHeight="1">
      <c r="A176" s="1" t="s">
        <v>6</v>
      </c>
    </row>
    <row r="177" ht="15.75" customHeight="1">
      <c r="A177" s="1" t="s">
        <v>34</v>
      </c>
      <c r="B177" s="1" t="s">
        <v>8</v>
      </c>
    </row>
    <row r="178" ht="15.75" customHeight="1">
      <c r="A178" s="1" t="s">
        <v>28</v>
      </c>
      <c r="B178" s="1">
        <v>229.0</v>
      </c>
    </row>
    <row r="179" ht="15.75" customHeight="1">
      <c r="A179" s="1" t="s">
        <v>33</v>
      </c>
      <c r="B179" s="1">
        <v>116.0</v>
      </c>
    </row>
    <row r="180" ht="15.75" customHeight="1">
      <c r="A180" s="1" t="s">
        <v>27</v>
      </c>
      <c r="B180" s="1">
        <v>6.0</v>
      </c>
    </row>
    <row r="181" ht="15.75" customHeight="1">
      <c r="A181" s="1" t="s">
        <v>25</v>
      </c>
      <c r="B181" s="1">
        <v>3.0</v>
      </c>
    </row>
    <row r="182" ht="15.75" customHeight="1">
      <c r="A182" s="1" t="s">
        <v>30</v>
      </c>
      <c r="B182" s="1">
        <v>2.0</v>
      </c>
    </row>
    <row r="183" ht="15.75" customHeight="1">
      <c r="A183" s="1" t="s">
        <v>31</v>
      </c>
      <c r="B183" s="1">
        <v>2.0</v>
      </c>
    </row>
    <row r="184" ht="15.75" customHeight="1">
      <c r="A184" s="1" t="s">
        <v>26</v>
      </c>
      <c r="B184" s="1">
        <v>1.0</v>
      </c>
    </row>
    <row r="185" ht="15.75" customHeight="1"/>
    <row r="186" ht="15.75" customHeight="1">
      <c r="A186" s="1" t="s">
        <v>35</v>
      </c>
    </row>
    <row r="187" ht="15.75" customHeight="1">
      <c r="A187" s="1" t="s">
        <v>5</v>
      </c>
    </row>
    <row r="188" ht="15.75" customHeight="1">
      <c r="A188" s="1" t="s">
        <v>6</v>
      </c>
    </row>
    <row r="189" ht="15.75" customHeight="1">
      <c r="A189" s="1" t="s">
        <v>7</v>
      </c>
      <c r="B189" s="1" t="s">
        <v>36</v>
      </c>
      <c r="C189" s="1" t="s">
        <v>37</v>
      </c>
      <c r="D189" s="1" t="s">
        <v>38</v>
      </c>
    </row>
    <row r="190" ht="15.75" customHeight="1">
      <c r="A190" s="1">
        <v>0.0</v>
      </c>
      <c r="B190" s="1">
        <v>257.0</v>
      </c>
      <c r="C190" s="1">
        <v>58.0</v>
      </c>
      <c r="D190" s="1">
        <v>15.0</v>
      </c>
    </row>
    <row r="191" ht="15.75" customHeight="1">
      <c r="A191" s="1">
        <v>1.0</v>
      </c>
      <c r="B191" s="1">
        <v>259.0</v>
      </c>
      <c r="C191" s="1">
        <v>60.0</v>
      </c>
      <c r="D191" s="1">
        <v>8.0</v>
      </c>
    </row>
    <row r="192" ht="15.75" customHeight="1">
      <c r="A192" s="1">
        <v>2.0</v>
      </c>
      <c r="B192" s="1">
        <v>274.0</v>
      </c>
      <c r="C192" s="1">
        <v>73.0</v>
      </c>
      <c r="D192" s="1">
        <v>18.0</v>
      </c>
    </row>
    <row r="193" ht="15.75" customHeight="1">
      <c r="A193" s="1">
        <v>3.0</v>
      </c>
      <c r="B193" s="1">
        <v>285.0</v>
      </c>
      <c r="C193" s="1">
        <v>83.0</v>
      </c>
      <c r="D193" s="1">
        <v>19.0</v>
      </c>
    </row>
    <row r="194" ht="15.75" customHeight="1">
      <c r="A194" s="1">
        <v>4.0</v>
      </c>
      <c r="B194" s="1">
        <v>282.0</v>
      </c>
      <c r="C194" s="1">
        <v>84.0</v>
      </c>
      <c r="D194" s="1">
        <v>8.0</v>
      </c>
    </row>
    <row r="195" ht="15.75" customHeight="1">
      <c r="A195" s="1">
        <v>5.0</v>
      </c>
      <c r="B195" s="1">
        <v>307.0</v>
      </c>
      <c r="C195" s="1">
        <v>108.0</v>
      </c>
      <c r="D195" s="1">
        <v>36.0</v>
      </c>
    </row>
    <row r="196" ht="15.75" customHeight="1">
      <c r="A196" s="1">
        <v>6.0</v>
      </c>
      <c r="B196" s="1">
        <v>320.0</v>
      </c>
      <c r="C196" s="1">
        <v>115.0</v>
      </c>
      <c r="D196" s="1">
        <v>17.0</v>
      </c>
    </row>
    <row r="197" ht="15.75" customHeight="1">
      <c r="A197" s="1">
        <v>7.0</v>
      </c>
      <c r="B197" s="1">
        <v>321.0</v>
      </c>
      <c r="C197" s="1">
        <v>113.0</v>
      </c>
      <c r="D197" s="1">
        <v>14.0</v>
      </c>
    </row>
    <row r="198" ht="15.75" customHeight="1">
      <c r="A198" s="1">
        <v>8.0</v>
      </c>
      <c r="B198" s="1">
        <v>334.0</v>
      </c>
      <c r="C198" s="1">
        <v>132.0</v>
      </c>
      <c r="D198" s="1">
        <v>29.0</v>
      </c>
    </row>
    <row r="199" ht="15.75" customHeight="1">
      <c r="A199" s="1">
        <v>9.0</v>
      </c>
      <c r="B199" s="1">
        <v>350.0</v>
      </c>
      <c r="C199" s="1">
        <v>144.0</v>
      </c>
      <c r="D199" s="1">
        <v>30.0</v>
      </c>
    </row>
    <row r="200" ht="15.75" customHeight="1">
      <c r="A200" s="1">
        <v>10.0</v>
      </c>
      <c r="B200" s="1">
        <v>348.0</v>
      </c>
      <c r="C200" s="1">
        <v>139.0</v>
      </c>
      <c r="D200" s="1">
        <v>13.0</v>
      </c>
    </row>
    <row r="201" ht="15.75" customHeight="1">
      <c r="A201" s="1">
        <v>11.0</v>
      </c>
      <c r="B201" s="1">
        <v>345.0</v>
      </c>
      <c r="C201" s="1">
        <v>136.0</v>
      </c>
      <c r="D201" s="1">
        <v>5.0</v>
      </c>
    </row>
    <row r="202" ht="15.75" customHeight="1">
      <c r="A202" s="1">
        <v>12.0</v>
      </c>
      <c r="B202" s="1">
        <v>347.0</v>
      </c>
      <c r="C202" s="1">
        <v>116.0</v>
      </c>
      <c r="D202" s="1">
        <v>12.0</v>
      </c>
    </row>
    <row r="203" ht="15.75" customHeight="1">
      <c r="A203" s="1">
        <v>13.0</v>
      </c>
      <c r="B203" s="1">
        <v>351.0</v>
      </c>
      <c r="C203" s="1">
        <v>110.0</v>
      </c>
      <c r="D203" s="1">
        <v>10.0</v>
      </c>
    </row>
    <row r="204" ht="15.75" customHeight="1">
      <c r="A204" s="1">
        <v>14.0</v>
      </c>
      <c r="B204" s="1">
        <v>348.0</v>
      </c>
      <c r="C204" s="1">
        <v>106.0</v>
      </c>
      <c r="D204" s="1">
        <v>12.0</v>
      </c>
    </row>
    <row r="205" ht="15.75" customHeight="1">
      <c r="A205" s="1">
        <v>15.0</v>
      </c>
      <c r="B205" s="1">
        <v>346.0</v>
      </c>
      <c r="C205" s="1">
        <v>94.0</v>
      </c>
      <c r="D205" s="1">
        <v>17.0</v>
      </c>
    </row>
    <row r="206" ht="15.75" customHeight="1">
      <c r="A206" s="1">
        <v>16.0</v>
      </c>
      <c r="B206" s="1">
        <v>349.0</v>
      </c>
      <c r="C206" s="1">
        <v>78.0</v>
      </c>
      <c r="D206" s="1">
        <v>18.0</v>
      </c>
    </row>
    <row r="207" ht="15.75" customHeight="1">
      <c r="A207" s="1">
        <v>17.0</v>
      </c>
      <c r="B207" s="1">
        <v>373.0</v>
      </c>
      <c r="C207" s="1">
        <v>91.0</v>
      </c>
      <c r="D207" s="1">
        <v>27.0</v>
      </c>
    </row>
    <row r="208" ht="15.75" customHeight="1">
      <c r="A208" s="1">
        <v>18.0</v>
      </c>
      <c r="B208" s="1">
        <v>365.0</v>
      </c>
      <c r="C208" s="1">
        <v>95.0</v>
      </c>
      <c r="D208" s="1">
        <v>10.0</v>
      </c>
    </row>
    <row r="209" ht="15.75" customHeight="1">
      <c r="A209" s="1">
        <v>19.0</v>
      </c>
      <c r="B209" s="1">
        <v>371.0</v>
      </c>
      <c r="C209" s="1">
        <v>95.0</v>
      </c>
      <c r="D209" s="1">
        <v>11.0</v>
      </c>
    </row>
    <row r="210" ht="15.75" customHeight="1">
      <c r="A210" s="1">
        <v>20.0</v>
      </c>
      <c r="B210" s="1">
        <v>377.0</v>
      </c>
      <c r="C210" s="1">
        <v>94.0</v>
      </c>
      <c r="D210" s="1">
        <v>9.0</v>
      </c>
    </row>
    <row r="211" ht="15.75" customHeight="1">
      <c r="A211" s="1">
        <v>21.0</v>
      </c>
      <c r="B211" s="1">
        <v>366.0</v>
      </c>
      <c r="C211" s="1">
        <v>90.0</v>
      </c>
      <c r="D211" s="1">
        <v>11.0</v>
      </c>
    </row>
    <row r="212" ht="15.75" customHeight="1">
      <c r="A212" s="1">
        <v>22.0</v>
      </c>
      <c r="B212" s="1">
        <v>378.0</v>
      </c>
      <c r="C212" s="1">
        <v>97.0</v>
      </c>
      <c r="D212" s="1">
        <v>21.0</v>
      </c>
    </row>
    <row r="213" ht="15.75" customHeight="1">
      <c r="A213" s="1">
        <v>23.0</v>
      </c>
      <c r="B213" s="1">
        <v>382.0</v>
      </c>
      <c r="C213" s="1">
        <v>90.0</v>
      </c>
      <c r="D213" s="1">
        <v>9.0</v>
      </c>
    </row>
    <row r="214" ht="15.75" customHeight="1">
      <c r="A214" s="1">
        <v>24.0</v>
      </c>
      <c r="B214" s="1">
        <v>378.0</v>
      </c>
      <c r="C214" s="1">
        <v>67.0</v>
      </c>
      <c r="D214" s="1">
        <v>2.0</v>
      </c>
    </row>
    <row r="215" ht="15.75" customHeight="1">
      <c r="A215" s="1">
        <v>25.0</v>
      </c>
      <c r="B215" s="1">
        <v>380.0</v>
      </c>
      <c r="C215" s="1">
        <v>64.0</v>
      </c>
      <c r="D215" s="1">
        <v>7.0</v>
      </c>
    </row>
    <row r="216" ht="15.75" customHeight="1">
      <c r="A216" s="1">
        <v>26.0</v>
      </c>
      <c r="B216" s="1">
        <v>380.0</v>
      </c>
      <c r="C216" s="1">
        <v>61.0</v>
      </c>
      <c r="D216" s="1">
        <v>8.0</v>
      </c>
    </row>
    <row r="217" ht="15.75" customHeight="1">
      <c r="A217" s="1">
        <v>27.0</v>
      </c>
      <c r="B217" s="1">
        <v>386.0</v>
      </c>
      <c r="C217" s="1">
        <v>66.0</v>
      </c>
      <c r="D217" s="1">
        <v>13.0</v>
      </c>
    </row>
    <row r="218" ht="15.75" customHeight="1"/>
    <row r="219" ht="15.75" customHeight="1">
      <c r="A219" s="1" t="s">
        <v>39</v>
      </c>
    </row>
    <row r="220" ht="15.75" customHeight="1">
      <c r="A220" s="1" t="s">
        <v>40</v>
      </c>
    </row>
    <row r="221" ht="15.75" customHeight="1">
      <c r="A221" s="1" t="s">
        <v>41</v>
      </c>
    </row>
    <row r="222" ht="15.75" customHeight="1">
      <c r="A222" s="1" t="s">
        <v>42</v>
      </c>
      <c r="B222" s="1" t="s">
        <v>43</v>
      </c>
      <c r="C222" s="1" t="s">
        <v>44</v>
      </c>
      <c r="D222" s="1" t="s">
        <v>45</v>
      </c>
      <c r="E222" s="1" t="s">
        <v>46</v>
      </c>
      <c r="F222" s="1" t="s">
        <v>47</v>
      </c>
      <c r="G222" s="1" t="s">
        <v>48</v>
      </c>
    </row>
    <row r="223" ht="15.75" customHeight="1">
      <c r="A223" s="1" t="s">
        <v>49</v>
      </c>
      <c r="B223" s="1">
        <v>63.0</v>
      </c>
      <c r="C223" s="1">
        <v>2.0</v>
      </c>
      <c r="D223" s="1">
        <v>0.0</v>
      </c>
      <c r="E223" s="1">
        <v>0.0</v>
      </c>
      <c r="F223" s="1">
        <v>1.0</v>
      </c>
    </row>
    <row r="224" ht="15.75" customHeight="1">
      <c r="A224" s="1" t="s">
        <v>50</v>
      </c>
      <c r="B224" s="1">
        <v>44.0</v>
      </c>
      <c r="C224" s="1">
        <v>2.0</v>
      </c>
      <c r="D224" s="1">
        <v>0.0</v>
      </c>
      <c r="E224" s="1">
        <v>0.0</v>
      </c>
      <c r="F224" s="1">
        <v>0.0</v>
      </c>
    </row>
    <row r="225" ht="15.75" customHeight="1">
      <c r="A225" s="1" t="s">
        <v>51</v>
      </c>
      <c r="B225" s="1">
        <v>78.0</v>
      </c>
      <c r="C225" s="1">
        <v>3.0</v>
      </c>
      <c r="D225" s="1">
        <v>1.0</v>
      </c>
      <c r="E225" s="1">
        <v>0.0</v>
      </c>
      <c r="F225" s="1">
        <v>-1.0</v>
      </c>
    </row>
    <row r="226" ht="15.75" customHeight="1">
      <c r="A226" s="1" t="s">
        <v>52</v>
      </c>
      <c r="B226" s="1">
        <v>133.0</v>
      </c>
      <c r="C226" s="1">
        <v>2.0</v>
      </c>
      <c r="D226" s="1">
        <v>1.0</v>
      </c>
      <c r="E226" s="1">
        <v>-1.0</v>
      </c>
      <c r="F226" s="1">
        <v>-1.0</v>
      </c>
    </row>
    <row r="227" ht="15.75" customHeight="1">
      <c r="A227" s="1" t="s">
        <v>53</v>
      </c>
      <c r="B227" s="1">
        <v>84.0</v>
      </c>
      <c r="C227" s="1">
        <v>6.0</v>
      </c>
      <c r="D227" s="1">
        <v>-1.0</v>
      </c>
      <c r="E227" s="1">
        <v>-1.0</v>
      </c>
      <c r="F227" s="1">
        <v>-1.0</v>
      </c>
    </row>
    <row r="228" ht="15.75" customHeight="1">
      <c r="A228" s="1" t="s">
        <v>54</v>
      </c>
      <c r="B228" s="1">
        <v>57.0</v>
      </c>
      <c r="C228" s="1">
        <v>-1.0</v>
      </c>
      <c r="D228" s="1">
        <v>-1.0</v>
      </c>
      <c r="E228" s="1">
        <v>-1.0</v>
      </c>
      <c r="F228" s="1">
        <v>-1.0</v>
      </c>
    </row>
    <row r="229" ht="15.75" customHeight="1"/>
    <row r="230" ht="15.75" customHeight="1">
      <c r="A230" s="1" t="s">
        <v>4</v>
      </c>
    </row>
    <row r="231" ht="15.75" customHeight="1">
      <c r="A231" s="1" t="s">
        <v>5</v>
      </c>
    </row>
    <row r="232" ht="15.75" customHeight="1">
      <c r="A232" s="1" t="s">
        <v>6</v>
      </c>
    </row>
    <row r="233" ht="15.75" customHeight="1">
      <c r="A233" s="1" t="s">
        <v>55</v>
      </c>
      <c r="B233" s="1" t="s">
        <v>56</v>
      </c>
    </row>
    <row r="234" ht="15.75" customHeight="1">
      <c r="A234" s="1" t="s">
        <v>57</v>
      </c>
      <c r="B234" s="1">
        <v>939.0</v>
      </c>
    </row>
    <row r="235" ht="15.75" customHeight="1"/>
    <row r="236" ht="15.75" customHeight="1">
      <c r="A236" s="1" t="s">
        <v>4</v>
      </c>
    </row>
    <row r="237" ht="15.75" customHeight="1">
      <c r="A237" s="1" t="s">
        <v>5</v>
      </c>
    </row>
    <row r="238" ht="15.75" customHeight="1">
      <c r="A238" s="1" t="s">
        <v>6</v>
      </c>
    </row>
    <row r="239" ht="15.75" customHeight="1">
      <c r="A239" s="1" t="s">
        <v>58</v>
      </c>
      <c r="B239" s="1" t="s">
        <v>59</v>
      </c>
    </row>
    <row r="240" ht="15.75" customHeight="1">
      <c r="A240" s="1" t="s">
        <v>60</v>
      </c>
      <c r="B240" s="1">
        <v>2109.0</v>
      </c>
    </row>
    <row r="241" ht="15.75" customHeight="1">
      <c r="A241" s="1" t="s">
        <v>61</v>
      </c>
      <c r="B241" s="1">
        <v>939.0</v>
      </c>
    </row>
    <row r="242" ht="15.75" customHeight="1">
      <c r="A242" s="1" t="s">
        <v>62</v>
      </c>
      <c r="B242" s="1">
        <v>465.0</v>
      </c>
    </row>
    <row r="243" ht="15.75" customHeight="1">
      <c r="A243" s="1" t="s">
        <v>63</v>
      </c>
      <c r="B243" s="1">
        <v>359.0</v>
      </c>
    </row>
    <row r="244" ht="15.75" customHeight="1">
      <c r="A244" s="1" t="s">
        <v>64</v>
      </c>
      <c r="B244" s="1">
        <v>356.0</v>
      </c>
    </row>
    <row r="245" ht="15.75" customHeight="1">
      <c r="A245" s="1" t="s">
        <v>65</v>
      </c>
      <c r="B245" s="1">
        <v>311.0</v>
      </c>
    </row>
    <row r="246" ht="15.75" customHeight="1">
      <c r="A246" s="1" t="s">
        <v>66</v>
      </c>
      <c r="B246" s="1">
        <v>57.0</v>
      </c>
    </row>
    <row r="247" ht="15.75" customHeight="1">
      <c r="A247" s="1" t="s">
        <v>67</v>
      </c>
      <c r="B247" s="1">
        <v>2.0</v>
      </c>
    </row>
    <row r="248" ht="15.75" customHeight="1">
      <c r="A248" s="1" t="s">
        <v>68</v>
      </c>
      <c r="B248" s="1">
        <v>1.0</v>
      </c>
    </row>
    <row r="249" ht="15.75" customHeight="1"/>
    <row r="250" ht="15.75" customHeight="1">
      <c r="A250" s="1" t="s">
        <v>69</v>
      </c>
    </row>
    <row r="251" ht="15.75" customHeight="1">
      <c r="A251" s="1" t="s">
        <v>5</v>
      </c>
    </row>
    <row r="252" ht="15.75" customHeight="1">
      <c r="A252" s="1" t="s">
        <v>6</v>
      </c>
    </row>
    <row r="253" ht="15.75" customHeight="1">
      <c r="A253" s="1" t="s">
        <v>58</v>
      </c>
      <c r="B253" s="1" t="s">
        <v>70</v>
      </c>
    </row>
    <row r="254" ht="15.75" customHeight="1"/>
    <row r="255" ht="15.75" customHeight="1"/>
    <row r="256" ht="15.75" customHeight="1">
      <c r="A256" s="1" t="s">
        <v>71</v>
      </c>
    </row>
    <row r="257" ht="15.75" customHeight="1">
      <c r="A257" s="1" t="s">
        <v>5</v>
      </c>
    </row>
    <row r="258" ht="15.75" customHeight="1">
      <c r="A258" s="1" t="s">
        <v>6</v>
      </c>
    </row>
    <row r="259" ht="15.75" customHeight="1">
      <c r="A259" s="1" t="s">
        <v>13</v>
      </c>
      <c r="B259" s="1" t="s">
        <v>72</v>
      </c>
    </row>
    <row r="260" ht="15.75" customHeight="1"/>
    <row r="261" ht="15.75" customHeight="1"/>
    <row r="262" ht="15.75" customHeight="1">
      <c r="A262" s="1" t="s">
        <v>4</v>
      </c>
    </row>
    <row r="263" ht="15.75" customHeight="1">
      <c r="A263" s="1" t="s">
        <v>5</v>
      </c>
    </row>
    <row r="264" ht="15.75" customHeight="1">
      <c r="A264" s="1" t="s">
        <v>6</v>
      </c>
    </row>
    <row r="265" ht="15.75" customHeight="1">
      <c r="A265" s="1" t="s">
        <v>73</v>
      </c>
      <c r="B265" s="1" t="s">
        <v>74</v>
      </c>
    </row>
    <row r="266" ht="15.75" customHeight="1"/>
    <row r="267" ht="15.75" customHeight="1"/>
    <row r="268" ht="15.75" customHeight="1">
      <c r="A268" s="1" t="s">
        <v>75</v>
      </c>
    </row>
    <row r="269" ht="15.75" customHeight="1">
      <c r="A269" s="1" t="s">
        <v>5</v>
      </c>
    </row>
    <row r="270" ht="15.75" customHeight="1">
      <c r="A270" s="1" t="s">
        <v>6</v>
      </c>
    </row>
    <row r="271" ht="15.75" customHeight="1">
      <c r="A271" s="1" t="s">
        <v>76</v>
      </c>
      <c r="B271" s="1" t="s">
        <v>70</v>
      </c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6.0"/>
    <col customWidth="1" min="3" max="5" width="12.63"/>
  </cols>
  <sheetData>
    <row r="1" ht="15.75" customHeight="1">
      <c r="A1" s="2" t="s">
        <v>77</v>
      </c>
      <c r="B1" s="2" t="s">
        <v>78</v>
      </c>
    </row>
    <row r="2" ht="15.75" customHeight="1">
      <c r="A2" s="3" t="s">
        <v>60</v>
      </c>
      <c r="B2" s="3">
        <v>2109.0</v>
      </c>
    </row>
    <row r="3" ht="15.75" customHeight="1">
      <c r="A3" s="4" t="s">
        <v>61</v>
      </c>
      <c r="B3" s="4">
        <v>939.0</v>
      </c>
    </row>
    <row r="4" ht="15.75" customHeight="1">
      <c r="A4" s="3" t="s">
        <v>62</v>
      </c>
      <c r="B4" s="3">
        <v>465.0</v>
      </c>
    </row>
    <row r="5" ht="15.75" customHeight="1">
      <c r="A5" s="4" t="s">
        <v>63</v>
      </c>
      <c r="B5" s="4">
        <v>359.0</v>
      </c>
    </row>
    <row r="6" ht="15.75" customHeight="1">
      <c r="A6" s="3" t="s">
        <v>64</v>
      </c>
      <c r="B6" s="3">
        <v>356.0</v>
      </c>
    </row>
    <row r="7" ht="15.75" customHeight="1">
      <c r="A7" s="4" t="s">
        <v>65</v>
      </c>
      <c r="B7" s="4">
        <v>311.0</v>
      </c>
    </row>
    <row r="8" ht="15.75" customHeight="1">
      <c r="A8" s="3" t="s">
        <v>66</v>
      </c>
      <c r="B8" s="3">
        <v>57.0</v>
      </c>
    </row>
    <row r="9" ht="15.75" customHeight="1">
      <c r="A9" s="4" t="s">
        <v>67</v>
      </c>
      <c r="B9" s="4">
        <v>2.0</v>
      </c>
    </row>
    <row r="10" ht="15.75" customHeight="1">
      <c r="A10" s="3" t="s">
        <v>68</v>
      </c>
      <c r="B10" s="3">
        <v>1.0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7" width="12.0"/>
  </cols>
  <sheetData>
    <row r="1" ht="15.75" customHeight="1">
      <c r="A1" s="2" t="s">
        <v>79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80</v>
      </c>
    </row>
    <row r="2" ht="15.75" customHeight="1">
      <c r="A2" s="3" t="s">
        <v>49</v>
      </c>
      <c r="B2" s="3">
        <v>63.0</v>
      </c>
      <c r="C2" s="3">
        <v>2.0</v>
      </c>
      <c r="D2" s="3">
        <v>0.0</v>
      </c>
      <c r="E2" s="3">
        <v>0.0</v>
      </c>
      <c r="F2" s="3">
        <v>1.0</v>
      </c>
      <c r="G2" s="3">
        <f t="shared" ref="G2:G7" si="1">IFERROR(SUM(B2:F2),0)</f>
        <v>66</v>
      </c>
    </row>
    <row r="3" ht="15.75" customHeight="1">
      <c r="A3" s="4" t="s">
        <v>50</v>
      </c>
      <c r="B3" s="4">
        <v>44.0</v>
      </c>
      <c r="C3" s="4">
        <v>2.0</v>
      </c>
      <c r="D3" s="4">
        <v>0.0</v>
      </c>
      <c r="E3" s="4">
        <v>0.0</v>
      </c>
      <c r="F3" s="4">
        <v>0.0</v>
      </c>
      <c r="G3" s="4">
        <f t="shared" si="1"/>
        <v>46</v>
      </c>
    </row>
    <row r="4" ht="15.75" customHeight="1">
      <c r="A4" s="3" t="s">
        <v>51</v>
      </c>
      <c r="B4" s="3">
        <v>78.0</v>
      </c>
      <c r="C4" s="3">
        <v>3.0</v>
      </c>
      <c r="D4" s="3">
        <v>1.0</v>
      </c>
      <c r="E4" s="3">
        <v>0.0</v>
      </c>
      <c r="F4" s="3"/>
      <c r="G4" s="3">
        <f t="shared" si="1"/>
        <v>82</v>
      </c>
    </row>
    <row r="5" ht="15.75" customHeight="1">
      <c r="A5" s="4" t="s">
        <v>52</v>
      </c>
      <c r="B5" s="4">
        <v>133.0</v>
      </c>
      <c r="C5" s="4">
        <v>2.0</v>
      </c>
      <c r="D5" s="4">
        <v>1.0</v>
      </c>
      <c r="E5" s="4"/>
      <c r="F5" s="4"/>
      <c r="G5" s="4">
        <f t="shared" si="1"/>
        <v>136</v>
      </c>
    </row>
    <row r="6" ht="15.75" customHeight="1">
      <c r="A6" s="3" t="s">
        <v>53</v>
      </c>
      <c r="B6" s="3">
        <v>84.0</v>
      </c>
      <c r="C6" s="3">
        <v>6.0</v>
      </c>
      <c r="D6" s="3"/>
      <c r="E6" s="3"/>
      <c r="F6" s="3"/>
      <c r="G6" s="3">
        <f t="shared" si="1"/>
        <v>90</v>
      </c>
    </row>
    <row r="7" ht="15.75" customHeight="1">
      <c r="A7" s="4" t="s">
        <v>54</v>
      </c>
      <c r="B7" s="4">
        <v>57.0</v>
      </c>
      <c r="C7" s="4"/>
      <c r="D7" s="4"/>
      <c r="E7" s="4"/>
      <c r="F7" s="4"/>
      <c r="G7" s="4">
        <f t="shared" si="1"/>
        <v>57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6.0"/>
    <col customWidth="1" min="3" max="5" width="20.0"/>
    <col customWidth="1" min="6" max="7" width="12.63"/>
  </cols>
  <sheetData>
    <row r="1" ht="15.75" customHeight="1">
      <c r="A1" s="2" t="s">
        <v>42</v>
      </c>
      <c r="B1" s="5" t="s">
        <v>81</v>
      </c>
      <c r="C1" s="2" t="s">
        <v>82</v>
      </c>
      <c r="D1" s="2" t="s">
        <v>83</v>
      </c>
      <c r="E1" s="2" t="s">
        <v>84</v>
      </c>
    </row>
    <row r="2" ht="15.75" customHeight="1">
      <c r="A2" s="6">
        <v>46050.0</v>
      </c>
      <c r="B2" s="3" t="str">
        <f t="shared" ref="B2:B29" si="1">TEXT(DATEVALUE(A2),"DDDD")</f>
        <v>Wednesday</v>
      </c>
      <c r="C2" s="3">
        <v>257.0</v>
      </c>
      <c r="D2" s="3">
        <v>58.0</v>
      </c>
      <c r="E2" s="3">
        <v>15.0</v>
      </c>
    </row>
    <row r="3" ht="15.75" customHeight="1">
      <c r="A3" s="6">
        <v>46051.0</v>
      </c>
      <c r="B3" s="3" t="str">
        <f t="shared" si="1"/>
        <v>Thursday</v>
      </c>
      <c r="C3" s="4">
        <v>259.0</v>
      </c>
      <c r="D3" s="4">
        <v>60.0</v>
      </c>
      <c r="E3" s="4">
        <v>8.0</v>
      </c>
    </row>
    <row r="4" ht="15.75" customHeight="1">
      <c r="A4" s="6">
        <v>46052.0</v>
      </c>
      <c r="B4" s="3" t="str">
        <f t="shared" si="1"/>
        <v>Friday</v>
      </c>
      <c r="C4" s="3">
        <v>274.0</v>
      </c>
      <c r="D4" s="3">
        <v>73.0</v>
      </c>
      <c r="E4" s="3">
        <v>18.0</v>
      </c>
    </row>
    <row r="5" ht="15.75" customHeight="1">
      <c r="A5" s="6">
        <v>46053.0</v>
      </c>
      <c r="B5" s="3" t="str">
        <f t="shared" si="1"/>
        <v>Saturday</v>
      </c>
      <c r="C5" s="4">
        <v>285.0</v>
      </c>
      <c r="D5" s="4">
        <v>83.0</v>
      </c>
      <c r="E5" s="4">
        <v>19.0</v>
      </c>
    </row>
    <row r="6" ht="15.75" customHeight="1">
      <c r="A6" s="6">
        <v>46054.0</v>
      </c>
      <c r="B6" s="3" t="str">
        <f t="shared" si="1"/>
        <v>Sunday</v>
      </c>
      <c r="C6" s="3">
        <v>282.0</v>
      </c>
      <c r="D6" s="3">
        <v>84.0</v>
      </c>
      <c r="E6" s="3">
        <v>8.0</v>
      </c>
    </row>
    <row r="7" ht="15.75" customHeight="1">
      <c r="A7" s="6">
        <v>46055.0</v>
      </c>
      <c r="B7" s="3" t="str">
        <f t="shared" si="1"/>
        <v>Monday</v>
      </c>
      <c r="C7" s="4">
        <v>307.0</v>
      </c>
      <c r="D7" s="4">
        <v>108.0</v>
      </c>
      <c r="E7" s="4">
        <v>36.0</v>
      </c>
    </row>
    <row r="8" ht="15.75" customHeight="1">
      <c r="A8" s="6">
        <v>46056.0</v>
      </c>
      <c r="B8" s="3" t="str">
        <f t="shared" si="1"/>
        <v>Tuesday</v>
      </c>
      <c r="C8" s="3">
        <v>320.0</v>
      </c>
      <c r="D8" s="3">
        <v>115.0</v>
      </c>
      <c r="E8" s="3">
        <v>17.0</v>
      </c>
    </row>
    <row r="9" ht="15.75" customHeight="1">
      <c r="A9" s="6">
        <v>46057.0</v>
      </c>
      <c r="B9" s="3" t="str">
        <f t="shared" si="1"/>
        <v>Wednesday</v>
      </c>
      <c r="C9" s="4">
        <v>321.0</v>
      </c>
      <c r="D9" s="4">
        <v>113.0</v>
      </c>
      <c r="E9" s="4">
        <v>14.0</v>
      </c>
    </row>
    <row r="10" ht="15.75" customHeight="1">
      <c r="A10" s="6">
        <v>46058.0</v>
      </c>
      <c r="B10" s="3" t="str">
        <f t="shared" si="1"/>
        <v>Thursday</v>
      </c>
      <c r="C10" s="3">
        <v>334.0</v>
      </c>
      <c r="D10" s="3">
        <v>132.0</v>
      </c>
      <c r="E10" s="3">
        <v>29.0</v>
      </c>
    </row>
    <row r="11" ht="15.75" customHeight="1">
      <c r="A11" s="6">
        <v>46059.0</v>
      </c>
      <c r="B11" s="3" t="str">
        <f t="shared" si="1"/>
        <v>Friday</v>
      </c>
      <c r="C11" s="4">
        <v>350.0</v>
      </c>
      <c r="D11" s="4">
        <v>144.0</v>
      </c>
      <c r="E11" s="4">
        <v>30.0</v>
      </c>
    </row>
    <row r="12" ht="15.75" customHeight="1">
      <c r="A12" s="6">
        <v>46060.0</v>
      </c>
      <c r="B12" s="3" t="str">
        <f t="shared" si="1"/>
        <v>Saturday</v>
      </c>
      <c r="C12" s="3">
        <v>348.0</v>
      </c>
      <c r="D12" s="3">
        <v>139.0</v>
      </c>
      <c r="E12" s="3">
        <v>13.0</v>
      </c>
    </row>
    <row r="13" ht="15.75" customHeight="1">
      <c r="A13" s="6">
        <v>46061.0</v>
      </c>
      <c r="B13" s="3" t="str">
        <f t="shared" si="1"/>
        <v>Sunday</v>
      </c>
      <c r="C13" s="4">
        <v>345.0</v>
      </c>
      <c r="D13" s="4">
        <v>136.0</v>
      </c>
      <c r="E13" s="4">
        <v>5.0</v>
      </c>
    </row>
    <row r="14" ht="15.75" customHeight="1">
      <c r="A14" s="6">
        <v>46062.0</v>
      </c>
      <c r="B14" s="3" t="str">
        <f t="shared" si="1"/>
        <v>Monday</v>
      </c>
      <c r="C14" s="3">
        <v>347.0</v>
      </c>
      <c r="D14" s="3">
        <v>116.0</v>
      </c>
      <c r="E14" s="3">
        <v>12.0</v>
      </c>
    </row>
    <row r="15" ht="15.75" customHeight="1">
      <c r="A15" s="6">
        <v>46063.0</v>
      </c>
      <c r="B15" s="3" t="str">
        <f t="shared" si="1"/>
        <v>Tuesday</v>
      </c>
      <c r="C15" s="4">
        <v>351.0</v>
      </c>
      <c r="D15" s="4">
        <v>110.0</v>
      </c>
      <c r="E15" s="4">
        <v>10.0</v>
      </c>
    </row>
    <row r="16" ht="15.75" customHeight="1">
      <c r="A16" s="6">
        <v>46064.0</v>
      </c>
      <c r="B16" s="3" t="str">
        <f t="shared" si="1"/>
        <v>Wednesday</v>
      </c>
      <c r="C16" s="3">
        <v>348.0</v>
      </c>
      <c r="D16" s="3">
        <v>106.0</v>
      </c>
      <c r="E16" s="3">
        <v>12.0</v>
      </c>
    </row>
    <row r="17" ht="15.75" customHeight="1">
      <c r="A17" s="6">
        <v>46065.0</v>
      </c>
      <c r="B17" s="3" t="str">
        <f t="shared" si="1"/>
        <v>Thursday</v>
      </c>
      <c r="C17" s="4">
        <v>346.0</v>
      </c>
      <c r="D17" s="4">
        <v>94.0</v>
      </c>
      <c r="E17" s="4">
        <v>17.0</v>
      </c>
    </row>
    <row r="18" ht="15.75" customHeight="1">
      <c r="A18" s="6">
        <v>46066.0</v>
      </c>
      <c r="B18" s="3" t="str">
        <f t="shared" si="1"/>
        <v>Friday</v>
      </c>
      <c r="C18" s="3">
        <v>349.0</v>
      </c>
      <c r="D18" s="3">
        <v>78.0</v>
      </c>
      <c r="E18" s="3">
        <v>18.0</v>
      </c>
    </row>
    <row r="19" ht="15.75" customHeight="1">
      <c r="A19" s="6">
        <v>46067.0</v>
      </c>
      <c r="B19" s="3" t="str">
        <f t="shared" si="1"/>
        <v>Saturday</v>
      </c>
      <c r="C19" s="4">
        <v>373.0</v>
      </c>
      <c r="D19" s="4">
        <v>91.0</v>
      </c>
      <c r="E19" s="4">
        <v>27.0</v>
      </c>
    </row>
    <row r="20" ht="15.75" customHeight="1">
      <c r="A20" s="6">
        <v>46068.0</v>
      </c>
      <c r="B20" s="3" t="str">
        <f t="shared" si="1"/>
        <v>Sunday</v>
      </c>
      <c r="C20" s="3">
        <v>365.0</v>
      </c>
      <c r="D20" s="3">
        <v>95.0</v>
      </c>
      <c r="E20" s="3">
        <v>10.0</v>
      </c>
    </row>
    <row r="21" ht="15.75" customHeight="1">
      <c r="A21" s="6">
        <v>46069.0</v>
      </c>
      <c r="B21" s="3" t="str">
        <f t="shared" si="1"/>
        <v>Monday</v>
      </c>
      <c r="C21" s="4">
        <v>371.0</v>
      </c>
      <c r="D21" s="4">
        <v>95.0</v>
      </c>
      <c r="E21" s="4">
        <v>11.0</v>
      </c>
    </row>
    <row r="22" ht="15.75" customHeight="1">
      <c r="A22" s="6">
        <v>46070.0</v>
      </c>
      <c r="B22" s="3" t="str">
        <f t="shared" si="1"/>
        <v>Tuesday</v>
      </c>
      <c r="C22" s="3">
        <v>377.0</v>
      </c>
      <c r="D22" s="3">
        <v>94.0</v>
      </c>
      <c r="E22" s="3">
        <v>9.0</v>
      </c>
    </row>
    <row r="23" ht="15.75" customHeight="1">
      <c r="A23" s="6">
        <v>46071.0</v>
      </c>
      <c r="B23" s="3" t="str">
        <f t="shared" si="1"/>
        <v>Wednesday</v>
      </c>
      <c r="C23" s="4">
        <v>366.0</v>
      </c>
      <c r="D23" s="4">
        <v>90.0</v>
      </c>
      <c r="E23" s="4">
        <v>11.0</v>
      </c>
    </row>
    <row r="24" ht="15.75" customHeight="1">
      <c r="A24" s="6">
        <v>46072.0</v>
      </c>
      <c r="B24" s="3" t="str">
        <f t="shared" si="1"/>
        <v>Thursday</v>
      </c>
      <c r="C24" s="3">
        <v>378.0</v>
      </c>
      <c r="D24" s="3">
        <v>97.0</v>
      </c>
      <c r="E24" s="3">
        <v>21.0</v>
      </c>
    </row>
    <row r="25" ht="15.75" customHeight="1">
      <c r="A25" s="6">
        <v>46073.0</v>
      </c>
      <c r="B25" s="3" t="str">
        <f t="shared" si="1"/>
        <v>Friday</v>
      </c>
      <c r="C25" s="4">
        <v>382.0</v>
      </c>
      <c r="D25" s="4">
        <v>90.0</v>
      </c>
      <c r="E25" s="4">
        <v>9.0</v>
      </c>
    </row>
    <row r="26" ht="15.75" customHeight="1">
      <c r="A26" s="6">
        <v>46074.0</v>
      </c>
      <c r="B26" s="3" t="str">
        <f t="shared" si="1"/>
        <v>Saturday</v>
      </c>
      <c r="C26" s="3">
        <v>378.0</v>
      </c>
      <c r="D26" s="3">
        <v>67.0</v>
      </c>
      <c r="E26" s="3">
        <v>2.0</v>
      </c>
    </row>
    <row r="27" ht="15.75" customHeight="1">
      <c r="A27" s="6">
        <v>46075.0</v>
      </c>
      <c r="B27" s="3" t="str">
        <f t="shared" si="1"/>
        <v>Sunday</v>
      </c>
      <c r="C27" s="4">
        <v>380.0</v>
      </c>
      <c r="D27" s="4">
        <v>64.0</v>
      </c>
      <c r="E27" s="4">
        <v>7.0</v>
      </c>
    </row>
    <row r="28" ht="15.75" customHeight="1">
      <c r="A28" s="6">
        <v>46076.0</v>
      </c>
      <c r="B28" s="3" t="str">
        <f t="shared" si="1"/>
        <v>Monday</v>
      </c>
      <c r="C28" s="3">
        <v>380.0</v>
      </c>
      <c r="D28" s="3">
        <v>61.0</v>
      </c>
      <c r="E28" s="3">
        <v>8.0</v>
      </c>
    </row>
    <row r="29" ht="15.75" customHeight="1">
      <c r="A29" s="6">
        <v>46077.0</v>
      </c>
      <c r="B29" s="3" t="str">
        <f t="shared" si="1"/>
        <v>Tuesday</v>
      </c>
      <c r="C29" s="4">
        <v>386.0</v>
      </c>
      <c r="D29" s="4">
        <v>66.0</v>
      </c>
      <c r="E29" s="4">
        <v>13.0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6.0"/>
    <col customWidth="1" min="3" max="3" width="14.0"/>
    <col customWidth="1" min="4" max="6" width="12.63"/>
  </cols>
  <sheetData>
    <row r="1" ht="15.75" customHeight="1">
      <c r="A1" s="2" t="s">
        <v>34</v>
      </c>
      <c r="B1" s="2" t="s">
        <v>85</v>
      </c>
      <c r="C1" s="2" t="s">
        <v>86</v>
      </c>
    </row>
    <row r="2" ht="15.75" customHeight="1">
      <c r="A2" s="3" t="s">
        <v>25</v>
      </c>
      <c r="B2" s="3">
        <v>3.0</v>
      </c>
      <c r="C2" s="7">
        <f t="shared" ref="C2:C10" si="1">IFERROR(B2/$B$11,0)</f>
        <v>0.008310249307</v>
      </c>
    </row>
    <row r="3" ht="15.75" customHeight="1">
      <c r="A3" s="4" t="s">
        <v>26</v>
      </c>
      <c r="B3" s="4">
        <v>1.0</v>
      </c>
      <c r="C3" s="8">
        <f t="shared" si="1"/>
        <v>0.002770083102</v>
      </c>
    </row>
    <row r="4" ht="15.75" customHeight="1">
      <c r="A4" s="3" t="s">
        <v>27</v>
      </c>
      <c r="B4" s="3">
        <v>6.0</v>
      </c>
      <c r="C4" s="7">
        <f t="shared" si="1"/>
        <v>0.01662049861</v>
      </c>
    </row>
    <row r="5" ht="15.75" customHeight="1">
      <c r="A5" s="4" t="s">
        <v>28</v>
      </c>
      <c r="B5" s="4">
        <v>229.0</v>
      </c>
      <c r="C5" s="8">
        <f t="shared" si="1"/>
        <v>0.6343490305</v>
      </c>
    </row>
    <row r="6" ht="15.75" customHeight="1">
      <c r="A6" s="3" t="s">
        <v>29</v>
      </c>
      <c r="B6" s="3">
        <v>1.0</v>
      </c>
      <c r="C6" s="7">
        <f t="shared" si="1"/>
        <v>0.002770083102</v>
      </c>
    </row>
    <row r="7" ht="15.75" customHeight="1">
      <c r="A7" s="4" t="s">
        <v>30</v>
      </c>
      <c r="B7" s="4">
        <v>2.0</v>
      </c>
      <c r="C7" s="8">
        <f t="shared" si="1"/>
        <v>0.005540166205</v>
      </c>
    </row>
    <row r="8" ht="15.75" customHeight="1">
      <c r="A8" s="3" t="s">
        <v>31</v>
      </c>
      <c r="B8" s="3">
        <v>2.0</v>
      </c>
      <c r="C8" s="7">
        <f t="shared" si="1"/>
        <v>0.005540166205</v>
      </c>
    </row>
    <row r="9" ht="15.75" customHeight="1">
      <c r="A9" s="4" t="s">
        <v>32</v>
      </c>
      <c r="B9" s="4">
        <v>1.0</v>
      </c>
      <c r="C9" s="8">
        <f t="shared" si="1"/>
        <v>0.002770083102</v>
      </c>
    </row>
    <row r="10" ht="15.75" customHeight="1">
      <c r="A10" s="3" t="s">
        <v>33</v>
      </c>
      <c r="B10" s="3">
        <v>116.0</v>
      </c>
      <c r="C10" s="7">
        <f t="shared" si="1"/>
        <v>0.3213296399</v>
      </c>
    </row>
    <row r="11" ht="15.75" customHeight="1">
      <c r="A11" s="9" t="s">
        <v>80</v>
      </c>
      <c r="B11" s="9">
        <f t="shared" ref="B11:C11" si="2">SUM(B2:B10)</f>
        <v>361</v>
      </c>
      <c r="C11" s="10">
        <f t="shared" si="2"/>
        <v>1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3" width="14.0"/>
    <col customWidth="1" min="4" max="6" width="12.63"/>
  </cols>
  <sheetData>
    <row r="1" ht="15.75" customHeight="1">
      <c r="A1" s="2" t="s">
        <v>87</v>
      </c>
      <c r="B1" s="2" t="s">
        <v>23</v>
      </c>
      <c r="C1" s="2" t="s">
        <v>86</v>
      </c>
    </row>
    <row r="2" ht="15.75" customHeight="1">
      <c r="A2" s="3" t="s">
        <v>15</v>
      </c>
      <c r="B2" s="3">
        <v>218.0</v>
      </c>
      <c r="C2" s="7">
        <f t="shared" ref="C2:C9" si="1">IFERROR(B2/$B$10,0)</f>
        <v>0.4570230608</v>
      </c>
    </row>
    <row r="3" ht="15.75" customHeight="1">
      <c r="A3" s="4" t="s">
        <v>14</v>
      </c>
      <c r="B3" s="4">
        <v>210.0</v>
      </c>
      <c r="C3" s="8">
        <f t="shared" si="1"/>
        <v>0.4402515723</v>
      </c>
    </row>
    <row r="4" ht="15.75" customHeight="1">
      <c r="A4" s="3" t="s">
        <v>20</v>
      </c>
      <c r="B4" s="3">
        <v>17.0</v>
      </c>
      <c r="C4" s="7">
        <f t="shared" si="1"/>
        <v>0.035639413</v>
      </c>
    </row>
    <row r="5" ht="15.75" customHeight="1">
      <c r="A5" s="4" t="s">
        <v>16</v>
      </c>
      <c r="B5" s="4">
        <v>14.0</v>
      </c>
      <c r="C5" s="8">
        <f t="shared" si="1"/>
        <v>0.02935010482</v>
      </c>
    </row>
    <row r="6" ht="15.75" customHeight="1">
      <c r="A6" s="3" t="s">
        <v>17</v>
      </c>
      <c r="B6" s="3">
        <v>9.0</v>
      </c>
      <c r="C6" s="7">
        <f t="shared" si="1"/>
        <v>0.01886792453</v>
      </c>
    </row>
    <row r="7" ht="15.75" customHeight="1">
      <c r="A7" s="4" t="s">
        <v>18</v>
      </c>
      <c r="B7" s="4">
        <v>6.0</v>
      </c>
      <c r="C7" s="8">
        <f t="shared" si="1"/>
        <v>0.01257861635</v>
      </c>
    </row>
    <row r="8" ht="15.75" customHeight="1">
      <c r="A8" s="3" t="s">
        <v>19</v>
      </c>
      <c r="B8" s="3">
        <v>2.0</v>
      </c>
      <c r="C8" s="7">
        <f t="shared" si="1"/>
        <v>0.004192872117</v>
      </c>
    </row>
    <row r="9" ht="15.75" customHeight="1">
      <c r="A9" s="4" t="s">
        <v>21</v>
      </c>
      <c r="B9" s="4">
        <v>1.0</v>
      </c>
      <c r="C9" s="8">
        <f t="shared" si="1"/>
        <v>0.002096436059</v>
      </c>
    </row>
    <row r="10" ht="15.75" customHeight="1">
      <c r="A10" s="9" t="s">
        <v>80</v>
      </c>
      <c r="B10" s="9">
        <f t="shared" ref="B10:C10" si="2">SUM(B2:B9)</f>
        <v>477</v>
      </c>
      <c r="C10" s="10">
        <f t="shared" si="2"/>
        <v>1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3" width="14.0"/>
    <col customWidth="1" min="4" max="6" width="12.63"/>
  </cols>
  <sheetData>
    <row r="1" ht="15.75" customHeight="1">
      <c r="A1" s="2" t="s">
        <v>87</v>
      </c>
      <c r="B1" s="2" t="s">
        <v>88</v>
      </c>
      <c r="C1" s="2" t="s">
        <v>86</v>
      </c>
    </row>
    <row r="2" ht="15.75" customHeight="1">
      <c r="A2" s="3" t="s">
        <v>14</v>
      </c>
      <c r="B2" s="3">
        <v>193.0</v>
      </c>
      <c r="C2" s="7">
        <f t="shared" ref="C2:C9" si="1">IFERROR(B2/$B$10,0)</f>
        <v>0.5421348315</v>
      </c>
    </row>
    <row r="3" ht="15.75" customHeight="1">
      <c r="A3" s="4" t="s">
        <v>15</v>
      </c>
      <c r="B3" s="4">
        <v>137.0</v>
      </c>
      <c r="C3" s="8">
        <f t="shared" si="1"/>
        <v>0.3848314607</v>
      </c>
    </row>
    <row r="4" ht="15.75" customHeight="1">
      <c r="A4" s="3" t="s">
        <v>16</v>
      </c>
      <c r="B4" s="3">
        <v>13.0</v>
      </c>
      <c r="C4" s="7">
        <f t="shared" si="1"/>
        <v>0.03651685393</v>
      </c>
    </row>
    <row r="5" ht="15.75" customHeight="1">
      <c r="A5" s="4" t="s">
        <v>17</v>
      </c>
      <c r="B5" s="4">
        <v>5.0</v>
      </c>
      <c r="C5" s="8">
        <f t="shared" si="1"/>
        <v>0.01404494382</v>
      </c>
    </row>
    <row r="6" ht="15.75" customHeight="1">
      <c r="A6" s="3" t="s">
        <v>18</v>
      </c>
      <c r="B6" s="3">
        <v>3.0</v>
      </c>
      <c r="C6" s="7">
        <f t="shared" si="1"/>
        <v>0.008426966292</v>
      </c>
    </row>
    <row r="7" ht="15.75" customHeight="1">
      <c r="A7" s="4" t="s">
        <v>19</v>
      </c>
      <c r="B7" s="4">
        <v>2.0</v>
      </c>
      <c r="C7" s="8">
        <f t="shared" si="1"/>
        <v>0.005617977528</v>
      </c>
    </row>
    <row r="8" ht="15.75" customHeight="1">
      <c r="A8" s="3" t="s">
        <v>20</v>
      </c>
      <c r="B8" s="3">
        <v>2.0</v>
      </c>
      <c r="C8" s="7">
        <f t="shared" si="1"/>
        <v>0.005617977528</v>
      </c>
    </row>
    <row r="9" ht="15.75" customHeight="1">
      <c r="A9" s="4" t="s">
        <v>21</v>
      </c>
      <c r="B9" s="4">
        <v>1.0</v>
      </c>
      <c r="C9" s="8">
        <f t="shared" si="1"/>
        <v>0.002808988764</v>
      </c>
    </row>
    <row r="10" ht="15.75" customHeight="1">
      <c r="A10" s="9" t="s">
        <v>80</v>
      </c>
      <c r="B10" s="9">
        <f t="shared" ref="B10:C10" si="2">SUM(B2:B9)</f>
        <v>356</v>
      </c>
      <c r="C10" s="10">
        <f t="shared" si="2"/>
        <v>1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36.0"/>
    <col customWidth="1" min="3" max="6" width="12.63"/>
  </cols>
  <sheetData>
    <row r="1" ht="15.75" customHeight="1">
      <c r="A1" s="2" t="s">
        <v>42</v>
      </c>
      <c r="B1" s="5" t="s">
        <v>89</v>
      </c>
    </row>
    <row r="2" ht="15.75" customHeight="1">
      <c r="A2" s="11">
        <v>46050.0</v>
      </c>
      <c r="B2" s="4">
        <v>0.0</v>
      </c>
    </row>
    <row r="3" ht="15.75" customHeight="1">
      <c r="A3" s="11">
        <v>46051.0</v>
      </c>
      <c r="B3" s="3">
        <v>0.0</v>
      </c>
    </row>
    <row r="4" ht="15.75" customHeight="1">
      <c r="A4" s="11">
        <v>46052.0</v>
      </c>
      <c r="B4" s="4">
        <v>0.0</v>
      </c>
    </row>
    <row r="5" ht="15.75" customHeight="1">
      <c r="A5" s="11">
        <v>46053.0</v>
      </c>
      <c r="B5" s="3">
        <v>0.0</v>
      </c>
    </row>
    <row r="6" ht="15.75" customHeight="1">
      <c r="A6" s="11">
        <v>46054.0</v>
      </c>
      <c r="B6" s="4">
        <v>0.0</v>
      </c>
    </row>
    <row r="7" ht="15.75" customHeight="1">
      <c r="A7" s="11">
        <v>46055.0</v>
      </c>
      <c r="B7" s="3">
        <v>0.0</v>
      </c>
    </row>
    <row r="8" ht="15.75" customHeight="1">
      <c r="A8" s="11">
        <v>46056.0</v>
      </c>
      <c r="B8" s="4">
        <v>0.0</v>
      </c>
    </row>
    <row r="9" ht="15.75" customHeight="1">
      <c r="A9" s="11">
        <v>46057.0</v>
      </c>
      <c r="B9" s="3">
        <v>0.0</v>
      </c>
    </row>
    <row r="10" ht="15.75" customHeight="1">
      <c r="A10" s="11">
        <v>46058.0</v>
      </c>
      <c r="B10" s="4">
        <v>0.0</v>
      </c>
    </row>
    <row r="11" ht="15.75" customHeight="1">
      <c r="A11" s="11">
        <v>46059.0</v>
      </c>
      <c r="B11" s="3">
        <v>0.0</v>
      </c>
    </row>
    <row r="12" ht="15.75" customHeight="1">
      <c r="A12" s="11">
        <v>46060.0</v>
      </c>
      <c r="B12" s="4">
        <v>0.0</v>
      </c>
    </row>
    <row r="13" ht="15.75" customHeight="1">
      <c r="A13" s="11">
        <v>46061.0</v>
      </c>
      <c r="B13" s="3">
        <v>0.0</v>
      </c>
    </row>
    <row r="14" ht="15.75" customHeight="1">
      <c r="A14" s="11">
        <v>46062.0</v>
      </c>
      <c r="B14" s="4">
        <v>0.0</v>
      </c>
    </row>
    <row r="15" ht="15.75" customHeight="1">
      <c r="A15" s="11">
        <v>46063.0</v>
      </c>
      <c r="B15" s="3">
        <v>0.0</v>
      </c>
    </row>
    <row r="16" ht="15.75" customHeight="1">
      <c r="A16" s="11">
        <v>46064.0</v>
      </c>
      <c r="B16" s="4">
        <v>0.0</v>
      </c>
    </row>
    <row r="17" ht="15.75" customHeight="1">
      <c r="A17" s="11">
        <v>46065.0</v>
      </c>
      <c r="B17" s="3">
        <v>0.0</v>
      </c>
    </row>
    <row r="18" ht="15.75" customHeight="1">
      <c r="A18" s="11">
        <v>46066.0</v>
      </c>
      <c r="B18" s="4">
        <v>0.0</v>
      </c>
    </row>
    <row r="19" ht="15.75" customHeight="1">
      <c r="A19" s="11">
        <v>46067.0</v>
      </c>
      <c r="B19" s="3">
        <v>0.0</v>
      </c>
    </row>
    <row r="20" ht="15.75" customHeight="1">
      <c r="A20" s="11">
        <v>46068.0</v>
      </c>
      <c r="B20" s="4">
        <v>0.0</v>
      </c>
    </row>
    <row r="21" ht="15.75" customHeight="1">
      <c r="A21" s="11">
        <v>46069.0</v>
      </c>
      <c r="B21" s="3">
        <v>0.0</v>
      </c>
    </row>
    <row r="22" ht="15.75" customHeight="1">
      <c r="A22" s="11">
        <v>46070.0</v>
      </c>
      <c r="B22" s="4">
        <v>0.0</v>
      </c>
    </row>
    <row r="23" ht="15.75" customHeight="1">
      <c r="A23" s="11">
        <v>46071.0</v>
      </c>
      <c r="B23" s="3">
        <v>0.0</v>
      </c>
    </row>
    <row r="24" ht="15.75" customHeight="1">
      <c r="A24" s="11">
        <v>46072.0</v>
      </c>
      <c r="B24" s="4">
        <v>0.0</v>
      </c>
    </row>
    <row r="25" ht="15.75" customHeight="1">
      <c r="A25" s="11">
        <v>46073.0</v>
      </c>
      <c r="B25" s="3">
        <v>0.0</v>
      </c>
    </row>
    <row r="26" ht="15.75" customHeight="1">
      <c r="A26" s="11">
        <v>46074.0</v>
      </c>
      <c r="B26" s="4">
        <v>0.0</v>
      </c>
    </row>
    <row r="27" ht="15.75" customHeight="1">
      <c r="A27" s="11">
        <v>46075.0</v>
      </c>
      <c r="B27" s="3">
        <v>0.0</v>
      </c>
    </row>
    <row r="28" ht="15.75" customHeight="1">
      <c r="A28" s="11">
        <v>46076.0</v>
      </c>
      <c r="B28" s="4">
        <v>0.0</v>
      </c>
    </row>
    <row r="29" ht="15.75" customHeight="1">
      <c r="A29" s="11">
        <v>46077.0</v>
      </c>
      <c r="B29" s="3">
        <v>0.0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6.0"/>
    <col customWidth="1" min="3" max="4" width="26.0"/>
    <col customWidth="1" min="5" max="7" width="12.63"/>
  </cols>
  <sheetData>
    <row r="1" ht="15.75" customHeight="1">
      <c r="A1" s="2" t="s">
        <v>42</v>
      </c>
      <c r="B1" s="5" t="s">
        <v>81</v>
      </c>
      <c r="C1" s="2" t="s">
        <v>90</v>
      </c>
      <c r="D1" s="2" t="s">
        <v>91</v>
      </c>
    </row>
    <row r="2" ht="15.75" customHeight="1">
      <c r="A2" s="6">
        <v>46050.0</v>
      </c>
      <c r="B2" s="6" t="str">
        <f t="shared" ref="B2:B29" si="1">TEXT(DATEVALUE(A2),"DDDD")</f>
        <v>Wednesday</v>
      </c>
      <c r="C2" s="3">
        <v>89.73</v>
      </c>
      <c r="D2" s="3">
        <f t="shared" ref="D2:D29" si="2">ROUND(C2/60,2)</f>
        <v>1.5</v>
      </c>
    </row>
    <row r="3" ht="15.75" customHeight="1">
      <c r="A3" s="6">
        <v>46051.0</v>
      </c>
      <c r="B3" s="6" t="str">
        <f t="shared" si="1"/>
        <v>Thursday</v>
      </c>
      <c r="C3" s="4">
        <v>76.88</v>
      </c>
      <c r="D3" s="4">
        <f t="shared" si="2"/>
        <v>1.28</v>
      </c>
    </row>
    <row r="4" ht="15.75" customHeight="1">
      <c r="A4" s="6">
        <v>46052.0</v>
      </c>
      <c r="B4" s="6" t="str">
        <f t="shared" si="1"/>
        <v>Friday</v>
      </c>
      <c r="C4" s="3">
        <v>36.11</v>
      </c>
      <c r="D4" s="3">
        <f t="shared" si="2"/>
        <v>0.6</v>
      </c>
    </row>
    <row r="5" ht="15.75" customHeight="1">
      <c r="A5" s="6">
        <v>46053.0</v>
      </c>
      <c r="B5" s="6" t="str">
        <f t="shared" si="1"/>
        <v>Saturday</v>
      </c>
      <c r="C5" s="4">
        <v>29.53</v>
      </c>
      <c r="D5" s="4">
        <f t="shared" si="2"/>
        <v>0.49</v>
      </c>
    </row>
    <row r="6" ht="15.75" customHeight="1">
      <c r="A6" s="6">
        <v>46054.0</v>
      </c>
      <c r="B6" s="6" t="str">
        <f t="shared" si="1"/>
        <v>Sunday</v>
      </c>
      <c r="C6" s="3">
        <v>10.25</v>
      </c>
      <c r="D6" s="3">
        <f t="shared" si="2"/>
        <v>0.17</v>
      </c>
    </row>
    <row r="7" ht="15.75" customHeight="1">
      <c r="A7" s="6">
        <v>46055.0</v>
      </c>
      <c r="B7" s="6" t="str">
        <f t="shared" si="1"/>
        <v>Monday</v>
      </c>
      <c r="C7" s="4">
        <v>20.72</v>
      </c>
      <c r="D7" s="4">
        <f t="shared" si="2"/>
        <v>0.35</v>
      </c>
    </row>
    <row r="8" ht="15.75" customHeight="1">
      <c r="A8" s="6">
        <v>46056.0</v>
      </c>
      <c r="B8" s="6" t="str">
        <f t="shared" si="1"/>
        <v>Tuesday</v>
      </c>
      <c r="C8" s="3">
        <v>32.29</v>
      </c>
      <c r="D8" s="3">
        <f t="shared" si="2"/>
        <v>0.54</v>
      </c>
    </row>
    <row r="9" ht="15.75" customHeight="1">
      <c r="A9" s="6">
        <v>46057.0</v>
      </c>
      <c r="B9" s="6" t="str">
        <f t="shared" si="1"/>
        <v>Wednesday</v>
      </c>
      <c r="C9" s="4">
        <v>47.79</v>
      </c>
      <c r="D9" s="4">
        <f t="shared" si="2"/>
        <v>0.8</v>
      </c>
    </row>
    <row r="10" ht="15.75" customHeight="1">
      <c r="A10" s="6">
        <v>46058.0</v>
      </c>
      <c r="B10" s="6" t="str">
        <f t="shared" si="1"/>
        <v>Thursday</v>
      </c>
      <c r="C10" s="3">
        <v>33.97</v>
      </c>
      <c r="D10" s="3">
        <f t="shared" si="2"/>
        <v>0.57</v>
      </c>
    </row>
    <row r="11" ht="15.75" customHeight="1">
      <c r="A11" s="6">
        <v>46059.0</v>
      </c>
      <c r="B11" s="6" t="str">
        <f t="shared" si="1"/>
        <v>Friday</v>
      </c>
      <c r="C11" s="4">
        <v>17.8</v>
      </c>
      <c r="D11" s="4">
        <f t="shared" si="2"/>
        <v>0.3</v>
      </c>
    </row>
    <row r="12" ht="15.75" customHeight="1">
      <c r="A12" s="6">
        <v>46060.0</v>
      </c>
      <c r="B12" s="6" t="str">
        <f t="shared" si="1"/>
        <v>Saturday</v>
      </c>
      <c r="C12" s="3">
        <v>24.46</v>
      </c>
      <c r="D12" s="3">
        <f t="shared" si="2"/>
        <v>0.41</v>
      </c>
    </row>
    <row r="13" ht="15.75" customHeight="1">
      <c r="A13" s="6">
        <v>46061.0</v>
      </c>
      <c r="B13" s="6" t="str">
        <f t="shared" si="1"/>
        <v>Sunday</v>
      </c>
      <c r="C13" s="4">
        <v>22.4</v>
      </c>
      <c r="D13" s="4">
        <f t="shared" si="2"/>
        <v>0.37</v>
      </c>
    </row>
    <row r="14" ht="15.75" customHeight="1">
      <c r="A14" s="6">
        <v>46062.0</v>
      </c>
      <c r="B14" s="6" t="str">
        <f t="shared" si="1"/>
        <v>Monday</v>
      </c>
      <c r="C14" s="3">
        <v>23.67</v>
      </c>
      <c r="D14" s="3">
        <f t="shared" si="2"/>
        <v>0.39</v>
      </c>
    </row>
    <row r="15" ht="15.75" customHeight="1">
      <c r="A15" s="6">
        <v>46063.0</v>
      </c>
      <c r="B15" s="6" t="str">
        <f t="shared" si="1"/>
        <v>Tuesday</v>
      </c>
      <c r="C15" s="4">
        <v>4.9</v>
      </c>
      <c r="D15" s="4">
        <f t="shared" si="2"/>
        <v>0.08</v>
      </c>
    </row>
    <row r="16" ht="15.75" customHeight="1">
      <c r="A16" s="6">
        <v>46064.0</v>
      </c>
      <c r="B16" s="6" t="str">
        <f t="shared" si="1"/>
        <v>Wednesday</v>
      </c>
      <c r="C16" s="3">
        <v>19.58</v>
      </c>
      <c r="D16" s="3">
        <f t="shared" si="2"/>
        <v>0.33</v>
      </c>
    </row>
    <row r="17" ht="15.75" customHeight="1">
      <c r="A17" s="6">
        <v>46065.0</v>
      </c>
      <c r="B17" s="6" t="str">
        <f t="shared" si="1"/>
        <v>Thursday</v>
      </c>
      <c r="C17" s="4">
        <v>20.29</v>
      </c>
      <c r="D17" s="4">
        <f t="shared" si="2"/>
        <v>0.34</v>
      </c>
    </row>
    <row r="18" ht="15.75" customHeight="1">
      <c r="A18" s="6">
        <v>46066.0</v>
      </c>
      <c r="B18" s="6" t="str">
        <f t="shared" si="1"/>
        <v>Friday</v>
      </c>
      <c r="C18" s="3">
        <v>11.5</v>
      </c>
      <c r="D18" s="3">
        <f t="shared" si="2"/>
        <v>0.19</v>
      </c>
    </row>
    <row r="19" ht="15.75" customHeight="1">
      <c r="A19" s="6">
        <v>46067.0</v>
      </c>
      <c r="B19" s="6" t="str">
        <f t="shared" si="1"/>
        <v>Saturday</v>
      </c>
      <c r="C19" s="4">
        <v>11.63</v>
      </c>
      <c r="D19" s="4">
        <f t="shared" si="2"/>
        <v>0.19</v>
      </c>
    </row>
    <row r="20" ht="15.75" customHeight="1">
      <c r="A20" s="6">
        <v>46068.0</v>
      </c>
      <c r="B20" s="6" t="str">
        <f t="shared" si="1"/>
        <v>Sunday</v>
      </c>
      <c r="C20" s="3">
        <v>28.0</v>
      </c>
      <c r="D20" s="3">
        <f t="shared" si="2"/>
        <v>0.47</v>
      </c>
    </row>
    <row r="21" ht="15.75" customHeight="1">
      <c r="A21" s="6">
        <v>46069.0</v>
      </c>
      <c r="B21" s="6" t="str">
        <f t="shared" si="1"/>
        <v>Monday</v>
      </c>
      <c r="C21" s="4">
        <v>11.18</v>
      </c>
      <c r="D21" s="4">
        <f t="shared" si="2"/>
        <v>0.19</v>
      </c>
    </row>
    <row r="22" ht="15.75" customHeight="1">
      <c r="A22" s="6">
        <v>46070.0</v>
      </c>
      <c r="B22" s="6" t="str">
        <f t="shared" si="1"/>
        <v>Tuesday</v>
      </c>
      <c r="C22" s="3">
        <v>49.44</v>
      </c>
      <c r="D22" s="3">
        <f t="shared" si="2"/>
        <v>0.82</v>
      </c>
    </row>
    <row r="23" ht="15.75" customHeight="1">
      <c r="A23" s="6">
        <v>46071.0</v>
      </c>
      <c r="B23" s="6" t="str">
        <f t="shared" si="1"/>
        <v>Wednesday</v>
      </c>
      <c r="C23" s="4">
        <v>17.18</v>
      </c>
      <c r="D23" s="4">
        <f t="shared" si="2"/>
        <v>0.29</v>
      </c>
    </row>
    <row r="24" ht="15.75" customHeight="1">
      <c r="A24" s="6">
        <v>46072.0</v>
      </c>
      <c r="B24" s="6" t="str">
        <f t="shared" si="1"/>
        <v>Thursday</v>
      </c>
      <c r="C24" s="3">
        <v>20.57</v>
      </c>
      <c r="D24" s="3">
        <f t="shared" si="2"/>
        <v>0.34</v>
      </c>
    </row>
    <row r="25" ht="15.75" customHeight="1">
      <c r="A25" s="6">
        <v>46073.0</v>
      </c>
      <c r="B25" s="6" t="str">
        <f t="shared" si="1"/>
        <v>Friday</v>
      </c>
      <c r="C25" s="4">
        <v>8.89</v>
      </c>
      <c r="D25" s="4">
        <f t="shared" si="2"/>
        <v>0.15</v>
      </c>
    </row>
    <row r="26" ht="15.75" customHeight="1">
      <c r="A26" s="6">
        <v>46074.0</v>
      </c>
      <c r="B26" s="6" t="str">
        <f t="shared" si="1"/>
        <v>Saturday</v>
      </c>
      <c r="C26" s="3">
        <v>67.0</v>
      </c>
      <c r="D26" s="3">
        <f t="shared" si="2"/>
        <v>1.12</v>
      </c>
    </row>
    <row r="27" ht="15.75" customHeight="1">
      <c r="A27" s="6">
        <v>46075.0</v>
      </c>
      <c r="B27" s="6" t="str">
        <f t="shared" si="1"/>
        <v>Sunday</v>
      </c>
      <c r="C27" s="4">
        <v>4.86</v>
      </c>
      <c r="D27" s="4">
        <f t="shared" si="2"/>
        <v>0.08</v>
      </c>
    </row>
    <row r="28" ht="15.75" customHeight="1">
      <c r="A28" s="6">
        <v>46076.0</v>
      </c>
      <c r="B28" s="6" t="str">
        <f t="shared" si="1"/>
        <v>Monday</v>
      </c>
      <c r="C28" s="3">
        <v>15.75</v>
      </c>
      <c r="D28" s="3">
        <f t="shared" si="2"/>
        <v>0.26</v>
      </c>
    </row>
    <row r="29" ht="15.75" customHeight="1">
      <c r="A29" s="6">
        <v>46077.0</v>
      </c>
      <c r="B29" s="6" t="str">
        <f t="shared" si="1"/>
        <v>Tuesday</v>
      </c>
      <c r="C29" s="4">
        <v>38.46</v>
      </c>
      <c r="D29" s="4">
        <f t="shared" si="2"/>
        <v>0.64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6.0"/>
    <col customWidth="1" min="3" max="5" width="18.0"/>
    <col customWidth="1" min="6" max="27" width="8.63"/>
  </cols>
  <sheetData>
    <row r="1">
      <c r="A1" s="2" t="s">
        <v>42</v>
      </c>
      <c r="B1" s="5" t="s">
        <v>81</v>
      </c>
      <c r="C1" s="2" t="s">
        <v>85</v>
      </c>
      <c r="D1" s="2" t="s">
        <v>88</v>
      </c>
      <c r="E1" s="2" t="s">
        <v>92</v>
      </c>
    </row>
    <row r="2">
      <c r="A2" s="6">
        <v>46050.0</v>
      </c>
      <c r="B2" s="6" t="str">
        <f t="shared" ref="B2:B29" si="1">TEXT(DATEVALUE(A2),"DDDD")</f>
        <v>Wednesday</v>
      </c>
      <c r="C2" s="3">
        <v>15.0</v>
      </c>
      <c r="D2" s="3">
        <v>13.0</v>
      </c>
      <c r="E2" s="3">
        <f t="shared" ref="E2:E29" si="2">C2-D2</f>
        <v>2</v>
      </c>
    </row>
    <row r="3">
      <c r="A3" s="6">
        <v>46051.0</v>
      </c>
      <c r="B3" s="6" t="str">
        <f t="shared" si="1"/>
        <v>Thursday</v>
      </c>
      <c r="C3" s="4">
        <v>8.0</v>
      </c>
      <c r="D3" s="4">
        <v>7.0</v>
      </c>
      <c r="E3" s="4">
        <f t="shared" si="2"/>
        <v>1</v>
      </c>
    </row>
    <row r="4">
      <c r="A4" s="6">
        <v>46052.0</v>
      </c>
      <c r="B4" s="6" t="str">
        <f t="shared" si="1"/>
        <v>Friday</v>
      </c>
      <c r="C4" s="3">
        <v>18.0</v>
      </c>
      <c r="D4" s="3">
        <v>18.0</v>
      </c>
      <c r="E4" s="3">
        <f t="shared" si="2"/>
        <v>0</v>
      </c>
    </row>
    <row r="5">
      <c r="A5" s="6">
        <v>46053.0</v>
      </c>
      <c r="B5" s="6" t="str">
        <f t="shared" si="1"/>
        <v>Saturday</v>
      </c>
      <c r="C5" s="4">
        <v>19.0</v>
      </c>
      <c r="D5" s="4">
        <v>16.0</v>
      </c>
      <c r="E5" s="4">
        <f t="shared" si="2"/>
        <v>3</v>
      </c>
    </row>
    <row r="6">
      <c r="A6" s="6">
        <v>46054.0</v>
      </c>
      <c r="B6" s="6" t="str">
        <f t="shared" si="1"/>
        <v>Sunday</v>
      </c>
      <c r="C6" s="3">
        <v>8.0</v>
      </c>
      <c r="D6" s="3">
        <v>6.0</v>
      </c>
      <c r="E6" s="3">
        <f t="shared" si="2"/>
        <v>2</v>
      </c>
    </row>
    <row r="7">
      <c r="A7" s="6">
        <v>46055.0</v>
      </c>
      <c r="B7" s="6" t="str">
        <f t="shared" si="1"/>
        <v>Monday</v>
      </c>
      <c r="C7" s="4">
        <v>36.0</v>
      </c>
      <c r="D7" s="4">
        <v>35.0</v>
      </c>
      <c r="E7" s="4">
        <f t="shared" si="2"/>
        <v>1</v>
      </c>
    </row>
    <row r="8">
      <c r="A8" s="6">
        <v>46056.0</v>
      </c>
      <c r="B8" s="6" t="str">
        <f t="shared" si="1"/>
        <v>Tuesday</v>
      </c>
      <c r="C8" s="3">
        <v>17.0</v>
      </c>
      <c r="D8" s="3">
        <v>16.0</v>
      </c>
      <c r="E8" s="3">
        <f t="shared" si="2"/>
        <v>1</v>
      </c>
    </row>
    <row r="9">
      <c r="A9" s="6">
        <v>46057.0</v>
      </c>
      <c r="B9" s="6" t="str">
        <f t="shared" si="1"/>
        <v>Wednesday</v>
      </c>
      <c r="C9" s="4">
        <v>14.0</v>
      </c>
      <c r="D9" s="4">
        <v>11.0</v>
      </c>
      <c r="E9" s="4">
        <f t="shared" si="2"/>
        <v>3</v>
      </c>
    </row>
    <row r="10">
      <c r="A10" s="6">
        <v>46058.0</v>
      </c>
      <c r="B10" s="6" t="str">
        <f t="shared" si="1"/>
        <v>Thursday</v>
      </c>
      <c r="C10" s="3">
        <v>29.0</v>
      </c>
      <c r="D10" s="3">
        <v>27.0</v>
      </c>
      <c r="E10" s="3">
        <f t="shared" si="2"/>
        <v>2</v>
      </c>
    </row>
    <row r="11">
      <c r="A11" s="6">
        <v>46059.0</v>
      </c>
      <c r="B11" s="6" t="str">
        <f t="shared" si="1"/>
        <v>Friday</v>
      </c>
      <c r="C11" s="4">
        <v>30.0</v>
      </c>
      <c r="D11" s="4">
        <v>27.0</v>
      </c>
      <c r="E11" s="4">
        <f t="shared" si="2"/>
        <v>3</v>
      </c>
    </row>
    <row r="12">
      <c r="A12" s="6">
        <v>46060.0</v>
      </c>
      <c r="B12" s="6" t="str">
        <f t="shared" si="1"/>
        <v>Saturday</v>
      </c>
      <c r="C12" s="3">
        <v>13.0</v>
      </c>
      <c r="D12" s="3">
        <v>13.0</v>
      </c>
      <c r="E12" s="3">
        <f t="shared" si="2"/>
        <v>0</v>
      </c>
    </row>
    <row r="13">
      <c r="A13" s="6">
        <v>46061.0</v>
      </c>
      <c r="B13" s="6" t="str">
        <f t="shared" si="1"/>
        <v>Sunday</v>
      </c>
      <c r="C13" s="4">
        <v>5.0</v>
      </c>
      <c r="D13" s="4">
        <v>4.0</v>
      </c>
      <c r="E13" s="4">
        <f t="shared" si="2"/>
        <v>1</v>
      </c>
    </row>
    <row r="14">
      <c r="A14" s="6">
        <v>46062.0</v>
      </c>
      <c r="B14" s="6" t="str">
        <f t="shared" si="1"/>
        <v>Monday</v>
      </c>
      <c r="C14" s="3">
        <v>12.0</v>
      </c>
      <c r="D14" s="3">
        <v>11.0</v>
      </c>
      <c r="E14" s="3">
        <f t="shared" si="2"/>
        <v>1</v>
      </c>
    </row>
    <row r="15">
      <c r="A15" s="6">
        <v>46063.0</v>
      </c>
      <c r="B15" s="6" t="str">
        <f t="shared" si="1"/>
        <v>Tuesday</v>
      </c>
      <c r="C15" s="4">
        <v>10.0</v>
      </c>
      <c r="D15" s="4">
        <v>9.0</v>
      </c>
      <c r="E15" s="4">
        <f t="shared" si="2"/>
        <v>1</v>
      </c>
    </row>
    <row r="16">
      <c r="A16" s="6">
        <v>46064.0</v>
      </c>
      <c r="B16" s="6" t="str">
        <f t="shared" si="1"/>
        <v>Wednesday</v>
      </c>
      <c r="C16" s="3">
        <v>12.0</v>
      </c>
      <c r="D16" s="3">
        <v>9.0</v>
      </c>
      <c r="E16" s="3">
        <f t="shared" si="2"/>
        <v>3</v>
      </c>
    </row>
    <row r="17">
      <c r="A17" s="6">
        <v>46065.0</v>
      </c>
      <c r="B17" s="6" t="str">
        <f t="shared" si="1"/>
        <v>Thursday</v>
      </c>
      <c r="C17" s="4">
        <v>17.0</v>
      </c>
      <c r="D17" s="4">
        <v>14.0</v>
      </c>
      <c r="E17" s="4">
        <f t="shared" si="2"/>
        <v>3</v>
      </c>
    </row>
    <row r="18">
      <c r="A18" s="6">
        <v>46066.0</v>
      </c>
      <c r="B18" s="6" t="str">
        <f t="shared" si="1"/>
        <v>Friday</v>
      </c>
      <c r="C18" s="3">
        <v>18.0</v>
      </c>
      <c r="D18" s="3">
        <v>11.0</v>
      </c>
      <c r="E18" s="3">
        <f t="shared" si="2"/>
        <v>7</v>
      </c>
    </row>
    <row r="19">
      <c r="A19" s="6">
        <v>46067.0</v>
      </c>
      <c r="B19" s="6" t="str">
        <f t="shared" si="1"/>
        <v>Saturday</v>
      </c>
      <c r="C19" s="4">
        <v>27.0</v>
      </c>
      <c r="D19" s="4">
        <v>26.0</v>
      </c>
      <c r="E19" s="4">
        <f t="shared" si="2"/>
        <v>1</v>
      </c>
    </row>
    <row r="20">
      <c r="A20" s="6">
        <v>46068.0</v>
      </c>
      <c r="B20" s="6" t="str">
        <f t="shared" si="1"/>
        <v>Sunday</v>
      </c>
      <c r="C20" s="3">
        <v>10.0</v>
      </c>
      <c r="D20" s="3">
        <v>9.0</v>
      </c>
      <c r="E20" s="3">
        <f t="shared" si="2"/>
        <v>1</v>
      </c>
    </row>
    <row r="21" ht="15.75" customHeight="1">
      <c r="A21" s="6">
        <v>46069.0</v>
      </c>
      <c r="B21" s="6" t="str">
        <f t="shared" si="1"/>
        <v>Monday</v>
      </c>
      <c r="C21" s="4">
        <v>11.0</v>
      </c>
      <c r="D21" s="4">
        <v>9.0</v>
      </c>
      <c r="E21" s="4">
        <f t="shared" si="2"/>
        <v>2</v>
      </c>
    </row>
    <row r="22" ht="15.75" customHeight="1">
      <c r="A22" s="6">
        <v>46070.0</v>
      </c>
      <c r="B22" s="6" t="str">
        <f t="shared" si="1"/>
        <v>Tuesday</v>
      </c>
      <c r="C22" s="3">
        <v>9.0</v>
      </c>
      <c r="D22" s="3">
        <v>7.0</v>
      </c>
      <c r="E22" s="3">
        <f t="shared" si="2"/>
        <v>2</v>
      </c>
    </row>
    <row r="23" ht="15.75" customHeight="1">
      <c r="A23" s="6">
        <v>46071.0</v>
      </c>
      <c r="B23" s="6" t="str">
        <f t="shared" si="1"/>
        <v>Wednesday</v>
      </c>
      <c r="C23" s="4">
        <v>11.0</v>
      </c>
      <c r="D23" s="4">
        <v>7.0</v>
      </c>
      <c r="E23" s="4">
        <f t="shared" si="2"/>
        <v>4</v>
      </c>
    </row>
    <row r="24" ht="15.75" customHeight="1">
      <c r="A24" s="6">
        <v>46072.0</v>
      </c>
      <c r="B24" s="6" t="str">
        <f t="shared" si="1"/>
        <v>Thursday</v>
      </c>
      <c r="C24" s="3">
        <v>21.0</v>
      </c>
      <c r="D24" s="3">
        <v>19.0</v>
      </c>
      <c r="E24" s="3">
        <f t="shared" si="2"/>
        <v>2</v>
      </c>
    </row>
    <row r="25" ht="15.75" customHeight="1">
      <c r="A25" s="6">
        <v>46073.0</v>
      </c>
      <c r="B25" s="6" t="str">
        <f t="shared" si="1"/>
        <v>Friday</v>
      </c>
      <c r="C25" s="4">
        <v>9.0</v>
      </c>
      <c r="D25" s="4">
        <v>6.0</v>
      </c>
      <c r="E25" s="4">
        <f t="shared" si="2"/>
        <v>3</v>
      </c>
    </row>
    <row r="26" ht="15.75" customHeight="1">
      <c r="A26" s="6">
        <v>46074.0</v>
      </c>
      <c r="B26" s="6" t="str">
        <f t="shared" si="1"/>
        <v>Saturday</v>
      </c>
      <c r="C26" s="3">
        <v>2.0</v>
      </c>
      <c r="D26" s="3">
        <v>1.0</v>
      </c>
      <c r="E26" s="3">
        <f t="shared" si="2"/>
        <v>1</v>
      </c>
    </row>
    <row r="27" ht="15.75" customHeight="1">
      <c r="A27" s="6">
        <v>46075.0</v>
      </c>
      <c r="B27" s="6" t="str">
        <f t="shared" si="1"/>
        <v>Sunday</v>
      </c>
      <c r="C27" s="4">
        <v>7.0</v>
      </c>
      <c r="D27" s="4">
        <v>7.0</v>
      </c>
      <c r="E27" s="4">
        <f t="shared" si="2"/>
        <v>0</v>
      </c>
    </row>
    <row r="28" ht="15.75" customHeight="1">
      <c r="A28" s="6">
        <v>46076.0</v>
      </c>
      <c r="B28" s="6" t="str">
        <f t="shared" si="1"/>
        <v>Monday</v>
      </c>
      <c r="C28" s="3">
        <v>8.0</v>
      </c>
      <c r="D28" s="3">
        <v>7.0</v>
      </c>
      <c r="E28" s="3">
        <f t="shared" si="2"/>
        <v>1</v>
      </c>
    </row>
    <row r="29" ht="15.75" customHeight="1">
      <c r="A29" s="6">
        <v>46077.0</v>
      </c>
      <c r="B29" s="6" t="str">
        <f t="shared" si="1"/>
        <v>Tuesday</v>
      </c>
      <c r="C29" s="4">
        <v>13.0</v>
      </c>
      <c r="D29" s="4">
        <v>11.0</v>
      </c>
      <c r="E29" s="4">
        <f t="shared" si="2"/>
        <v>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